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anchez\Downloads\"/>
    </mc:Choice>
  </mc:AlternateContent>
  <xr:revisionPtr revIDLastSave="0" documentId="13_ncr:1_{E5CC864F-135B-43A4-BA3C-3259BE5B8E23}" xr6:coauthVersionLast="47" xr6:coauthVersionMax="47" xr10:uidLastSave="{00000000-0000-0000-0000-000000000000}"/>
  <bookViews>
    <workbookView xWindow="-120" yWindow="-120" windowWidth="29040" windowHeight="15720" activeTab="1" xr2:uid="{A383291F-40B1-4ED8-86EC-F48EE25ABBB2}"/>
  </bookViews>
  <sheets>
    <sheet name="BASE" sheetId="1" r:id="rId1"/>
    <sheet name="ASI VAMOS" sheetId="2" r:id="rId2"/>
  </sheets>
  <definedNames>
    <definedName name="_xlnm._FilterDatabase" localSheetId="1" hidden="1">'ASI VAMOS'!$A$12:$P$12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I32" i="2" l="1"/>
  <c r="I34" i="2"/>
  <c r="I35" i="2"/>
  <c r="I36" i="2"/>
  <c r="I37" i="2"/>
  <c r="I33" i="2"/>
  <c r="E24" i="2" l="1"/>
  <c r="E25" i="2"/>
  <c r="E26" i="2"/>
  <c r="E27" i="2"/>
  <c r="E28" i="2"/>
  <c r="J13" i="2" l="1"/>
  <c r="E13" i="2" l="1"/>
  <c r="F13" i="2"/>
  <c r="E14" i="2"/>
  <c r="F14" i="2"/>
  <c r="J14" i="2"/>
  <c r="E15" i="2"/>
  <c r="F15" i="2"/>
  <c r="J15" i="2"/>
  <c r="E16" i="2"/>
  <c r="F16" i="2"/>
  <c r="J16" i="2"/>
  <c r="E17" i="2"/>
  <c r="F17" i="2"/>
  <c r="J17" i="2"/>
  <c r="E18" i="2"/>
  <c r="F18" i="2"/>
  <c r="J18" i="2"/>
  <c r="K13" i="2" l="1"/>
  <c r="K15" i="2"/>
  <c r="K16" i="2"/>
  <c r="K14" i="2"/>
  <c r="K18" i="2"/>
  <c r="K17" i="2"/>
  <c r="I16" i="2"/>
  <c r="H13" i="2"/>
  <c r="H15" i="2"/>
  <c r="H17" i="2"/>
  <c r="H18" i="2"/>
  <c r="H14" i="2"/>
  <c r="I15" i="2"/>
  <c r="H16" i="2"/>
  <c r="I13" i="2"/>
  <c r="I17" i="2"/>
  <c r="I18" i="2"/>
  <c r="I14" i="2"/>
  <c r="E56" i="2" l="1"/>
  <c r="E55" i="2"/>
  <c r="E54" i="2"/>
  <c r="E53" i="2"/>
  <c r="E52" i="2"/>
  <c r="E51" i="2"/>
  <c r="B17" i="2" l="1"/>
  <c r="B16" i="2"/>
  <c r="B15" i="2"/>
  <c r="B14" i="2"/>
  <c r="B13" i="2"/>
  <c r="H98" i="2" l="1"/>
  <c r="H99" i="2"/>
  <c r="H100" i="2"/>
  <c r="H101" i="2"/>
  <c r="H102" i="2"/>
  <c r="H97" i="2"/>
  <c r="I5" i="2" l="1"/>
  <c r="I56" i="2" l="1"/>
  <c r="I47" i="2"/>
  <c r="K28" i="2" l="1"/>
  <c r="R28" i="2" s="1"/>
  <c r="I83" i="2" l="1"/>
  <c r="J37" i="2"/>
  <c r="I9" i="2"/>
  <c r="F83" i="2"/>
  <c r="K74" i="2"/>
  <c r="J74" i="2"/>
  <c r="I74" i="2"/>
  <c r="H74" i="2"/>
  <c r="F74" i="2"/>
  <c r="E74" i="2"/>
  <c r="J28" i="2"/>
  <c r="I28" i="2"/>
  <c r="H28" i="2"/>
  <c r="P28" i="2" s="1"/>
  <c r="F28" i="2"/>
  <c r="I6" i="2"/>
  <c r="I7" i="2"/>
  <c r="I8" i="2"/>
  <c r="F9" i="2"/>
  <c r="E9" i="2"/>
  <c r="D9" i="2"/>
  <c r="D18" i="2" s="1"/>
  <c r="L9" i="2" l="1"/>
  <c r="M9" i="2" s="1"/>
  <c r="L28" i="2"/>
  <c r="N28" i="2" s="1"/>
  <c r="K9" i="2"/>
  <c r="H56" i="2"/>
  <c r="H47" i="2"/>
  <c r="H9" i="2"/>
  <c r="F56" i="2" l="1"/>
  <c r="F24" i="2" l="1"/>
  <c r="I79" i="2" l="1"/>
  <c r="I80" i="2"/>
  <c r="I81" i="2"/>
  <c r="I82" i="2"/>
  <c r="I52" i="2"/>
  <c r="I53" i="2"/>
  <c r="I54" i="2"/>
  <c r="I55" i="2"/>
  <c r="I43" i="2"/>
  <c r="I44" i="2"/>
  <c r="I45" i="2"/>
  <c r="I46" i="2"/>
  <c r="J33" i="2"/>
  <c r="J34" i="2"/>
  <c r="J35" i="2"/>
  <c r="J36" i="2"/>
  <c r="K24" i="2"/>
  <c r="R24" i="2" s="1"/>
  <c r="K25" i="2"/>
  <c r="R25" i="2" s="1"/>
  <c r="K26" i="2"/>
  <c r="R26" i="2" s="1"/>
  <c r="K27" i="2"/>
  <c r="R27" i="2" s="1"/>
  <c r="I4" i="2"/>
  <c r="I78" i="2"/>
  <c r="F79" i="2"/>
  <c r="H79" i="2" s="1"/>
  <c r="F80" i="2"/>
  <c r="H80" i="2" s="1"/>
  <c r="F81" i="2"/>
  <c r="H81" i="2" s="1"/>
  <c r="F82" i="2"/>
  <c r="H82" i="2" s="1"/>
  <c r="H83" i="2"/>
  <c r="F78" i="2"/>
  <c r="H78" i="2" s="1"/>
  <c r="C4" i="2"/>
  <c r="C5" i="2"/>
  <c r="C6" i="2"/>
  <c r="C53" i="2" s="1"/>
  <c r="C7" i="2"/>
  <c r="C16" i="2" s="1"/>
  <c r="C8" i="2"/>
  <c r="C9" i="2"/>
  <c r="C55" i="2" l="1"/>
  <c r="C13" i="2"/>
  <c r="C63" i="2"/>
  <c r="C37" i="2"/>
  <c r="C52" i="2"/>
  <c r="C44" i="2"/>
  <c r="C62" i="2"/>
  <c r="C89" i="2"/>
  <c r="C71" i="2"/>
  <c r="C15" i="2"/>
  <c r="C34" i="2"/>
  <c r="C80" i="2"/>
  <c r="C79" i="2"/>
  <c r="C18" i="2"/>
  <c r="C70" i="2"/>
  <c r="C83" i="2"/>
  <c r="C43" i="2"/>
  <c r="C92" i="2"/>
  <c r="C61" i="2"/>
  <c r="C46" i="2"/>
  <c r="C91" i="2"/>
  <c r="C81" i="2"/>
  <c r="C35" i="2"/>
  <c r="C33" i="2"/>
  <c r="C88" i="2"/>
  <c r="C45" i="2"/>
  <c r="C17" i="2"/>
  <c r="C82" i="2"/>
  <c r="C54" i="2"/>
  <c r="C36" i="2"/>
  <c r="C14" i="2"/>
  <c r="C24" i="2" s="1"/>
  <c r="C90" i="2"/>
  <c r="C78" i="2"/>
  <c r="C69" i="2"/>
  <c r="C60" i="2"/>
  <c r="C74" i="2"/>
  <c r="C51" i="2"/>
  <c r="C73" i="2"/>
  <c r="C72" i="2"/>
  <c r="C64" i="2"/>
  <c r="C47" i="2"/>
  <c r="C65" i="2"/>
  <c r="C42" i="2"/>
  <c r="C56" i="2"/>
  <c r="C32" i="2"/>
  <c r="C87" i="2"/>
  <c r="E47" i="2"/>
  <c r="F47" i="2" s="1"/>
  <c r="E46" i="2"/>
  <c r="E45" i="2"/>
  <c r="E44" i="2"/>
  <c r="E43" i="2"/>
  <c r="J27" i="2"/>
  <c r="I27" i="2"/>
  <c r="H27" i="2"/>
  <c r="P27" i="2" s="1"/>
  <c r="F27" i="2"/>
  <c r="J26" i="2"/>
  <c r="I26" i="2"/>
  <c r="H26" i="2"/>
  <c r="P26" i="2" s="1"/>
  <c r="F26" i="2"/>
  <c r="J25" i="2"/>
  <c r="I25" i="2"/>
  <c r="P25" i="2"/>
  <c r="F25" i="2"/>
  <c r="J24" i="2"/>
  <c r="I24" i="2"/>
  <c r="H24" i="2"/>
  <c r="P24" i="2" s="1"/>
  <c r="J9" i="2"/>
  <c r="F8" i="2"/>
  <c r="E8" i="2"/>
  <c r="D8" i="2"/>
  <c r="D17" i="2" s="1"/>
  <c r="F7" i="2"/>
  <c r="E7" i="2"/>
  <c r="D7" i="2"/>
  <c r="D16" i="2" s="1"/>
  <c r="F6" i="2"/>
  <c r="E6" i="2"/>
  <c r="D6" i="2"/>
  <c r="D15" i="2" s="1"/>
  <c r="F5" i="2"/>
  <c r="E5" i="2"/>
  <c r="L5" i="2" s="1"/>
  <c r="M5" i="2" s="1"/>
  <c r="D5" i="2"/>
  <c r="D14" i="2" s="1"/>
  <c r="K73" i="2"/>
  <c r="J73" i="2"/>
  <c r="I73" i="2"/>
  <c r="H73" i="2"/>
  <c r="F73" i="2"/>
  <c r="E73" i="2"/>
  <c r="K72" i="2"/>
  <c r="J72" i="2"/>
  <c r="I72" i="2"/>
  <c r="H72" i="2"/>
  <c r="F72" i="2"/>
  <c r="E72" i="2"/>
  <c r="K71" i="2"/>
  <c r="J71" i="2"/>
  <c r="I71" i="2"/>
  <c r="H71" i="2"/>
  <c r="F71" i="2"/>
  <c r="E71" i="2"/>
  <c r="K70" i="2"/>
  <c r="J70" i="2"/>
  <c r="I70" i="2"/>
  <c r="H70" i="2"/>
  <c r="F70" i="2"/>
  <c r="E70" i="2"/>
  <c r="E42" i="2"/>
  <c r="D4" i="2"/>
  <c r="D13" i="2" s="1"/>
  <c r="H69" i="2"/>
  <c r="F51" i="2" s="1"/>
  <c r="I69" i="2"/>
  <c r="J69" i="2"/>
  <c r="K69" i="2"/>
  <c r="F69" i="2"/>
  <c r="E69" i="2"/>
  <c r="J23" i="2"/>
  <c r="I23" i="2"/>
  <c r="H23" i="2"/>
  <c r="P23" i="2" s="1"/>
  <c r="E23" i="2"/>
  <c r="F23" i="2" s="1"/>
  <c r="L7" i="2" l="1"/>
  <c r="M7" i="2" s="1"/>
  <c r="L6" i="2"/>
  <c r="M6" i="2" s="1"/>
  <c r="L8" i="2"/>
  <c r="M8" i="2" s="1"/>
  <c r="L23" i="2"/>
  <c r="N23" i="2" s="1"/>
  <c r="E87" i="2"/>
  <c r="C26" i="2"/>
  <c r="C25" i="2"/>
  <c r="L24" i="2"/>
  <c r="N24" i="2" s="1"/>
  <c r="L26" i="2"/>
  <c r="N26" i="2" s="1"/>
  <c r="L25" i="2"/>
  <c r="N25" i="2" s="1"/>
  <c r="L27" i="2"/>
  <c r="N27" i="2" s="1"/>
  <c r="J8" i="2"/>
  <c r="C23" i="2"/>
  <c r="H42" i="2"/>
  <c r="C27" i="2"/>
  <c r="C28" i="2"/>
  <c r="K6" i="2"/>
  <c r="K5" i="2"/>
  <c r="K7" i="2"/>
  <c r="K8" i="2"/>
  <c r="F55" i="2"/>
  <c r="E64" i="2"/>
  <c r="F64" i="2" s="1"/>
  <c r="E65" i="2"/>
  <c r="F65" i="2" s="1"/>
  <c r="E61" i="2"/>
  <c r="F61" i="2" s="1"/>
  <c r="E62" i="2"/>
  <c r="F62" i="2" s="1"/>
  <c r="E60" i="2"/>
  <c r="F60" i="2" s="1"/>
  <c r="E63" i="2"/>
  <c r="F63" i="2" s="1"/>
  <c r="J7" i="2"/>
  <c r="H46" i="2"/>
  <c r="H55" i="2"/>
  <c r="H53" i="2"/>
  <c r="H43" i="2"/>
  <c r="H52" i="2"/>
  <c r="F53" i="2"/>
  <c r="H5" i="2"/>
  <c r="E89" i="2"/>
  <c r="H44" i="2"/>
  <c r="E90" i="2"/>
  <c r="F45" i="2"/>
  <c r="H6" i="2"/>
  <c r="E91" i="2"/>
  <c r="J6" i="2"/>
  <c r="E88" i="2"/>
  <c r="H54" i="2"/>
  <c r="F43" i="2"/>
  <c r="H45" i="2"/>
  <c r="E92" i="2"/>
  <c r="F44" i="2"/>
  <c r="F46" i="2"/>
  <c r="F52" i="2"/>
  <c r="F54" i="2"/>
  <c r="J5" i="2"/>
  <c r="H8" i="2"/>
  <c r="H7" i="2"/>
  <c r="H51" i="2"/>
  <c r="E4" i="2"/>
  <c r="F4" i="2"/>
  <c r="J4" i="2" s="1"/>
  <c r="L4" i="2" l="1"/>
  <c r="M4" i="2" s="1"/>
  <c r="D27" i="2"/>
  <c r="D36" i="2" s="1"/>
  <c r="D46" i="2" s="1"/>
  <c r="D64" i="2" s="1"/>
  <c r="D24" i="2"/>
  <c r="K4" i="2"/>
  <c r="D28" i="2"/>
  <c r="H4" i="2"/>
  <c r="K23" i="2"/>
  <c r="R23" i="2" s="1"/>
  <c r="I42" i="2"/>
  <c r="I51" i="2"/>
  <c r="J32" i="2"/>
  <c r="D23" i="2"/>
  <c r="D32" i="2" s="1"/>
  <c r="D42" i="2" s="1"/>
  <c r="D60" i="2" s="1"/>
  <c r="D26" i="2" l="1"/>
  <c r="D35" i="2" s="1"/>
  <c r="D45" i="2" s="1"/>
  <c r="D63" i="2" s="1"/>
  <c r="D72" i="2" s="1"/>
  <c r="D90" i="2" s="1"/>
  <c r="D25" i="2"/>
  <c r="D34" i="2" s="1"/>
  <c r="D44" i="2" s="1"/>
  <c r="D62" i="2" s="1"/>
  <c r="D71" i="2" s="1"/>
  <c r="D89" i="2" s="1"/>
  <c r="D55" i="2"/>
  <c r="D33" i="2"/>
  <c r="D43" i="2" s="1"/>
  <c r="D37" i="2"/>
  <c r="D47" i="2" s="1"/>
  <c r="D69" i="2"/>
  <c r="D87" i="2" s="1"/>
  <c r="D51" i="2"/>
  <c r="F42" i="2"/>
  <c r="D81" i="2" l="1"/>
  <c r="D54" i="2"/>
  <c r="D80" i="2"/>
  <c r="D53" i="2"/>
  <c r="D52" i="2"/>
  <c r="D61" i="2"/>
  <c r="D70" i="2" s="1"/>
  <c r="D65" i="2"/>
  <c r="D74" i="2" s="1"/>
  <c r="D56" i="2"/>
  <c r="D73" i="2"/>
  <c r="D78" i="2"/>
  <c r="D88" i="2" l="1"/>
  <c r="D79" i="2"/>
  <c r="D92" i="2"/>
  <c r="D83" i="2"/>
  <c r="D82" i="2"/>
  <c r="D91" i="2"/>
</calcChain>
</file>

<file path=xl/sharedStrings.xml><?xml version="1.0" encoding="utf-8"?>
<sst xmlns="http://schemas.openxmlformats.org/spreadsheetml/2006/main" count="229" uniqueCount="113">
  <si>
    <t>Ciclo</t>
  </si>
  <si>
    <t>Cd Gerencia</t>
  </si>
  <si>
    <t>Nombre Gerencia</t>
  </si>
  <si>
    <t>Cd Setor</t>
  </si>
  <si>
    <t>Nombre Setor</t>
  </si>
  <si>
    <t>Código de consultora</t>
  </si>
  <si>
    <t>Nombre de consultora</t>
  </si>
  <si>
    <t>Color</t>
  </si>
  <si>
    <t>Código de grupo</t>
  </si>
  <si>
    <t>Objetivo Facturación</t>
  </si>
  <si>
    <t>Real Facturación</t>
  </si>
  <si>
    <t>Cumplimiento Facturación</t>
  </si>
  <si>
    <t>Objetivo Activas</t>
  </si>
  <si>
    <t>Real Activas</t>
  </si>
  <si>
    <t>Cumplimiento Activas</t>
  </si>
  <si>
    <t>Real Activas plata o mas</t>
  </si>
  <si>
    <t xml:space="preserve">Real Activas Bronce o Plata </t>
  </si>
  <si>
    <t>Saldo</t>
  </si>
  <si>
    <t>Disponibles</t>
  </si>
  <si>
    <t>Inactiva 1</t>
  </si>
  <si>
    <t>Inactiva 2</t>
  </si>
  <si>
    <t>Inactiva 3</t>
  </si>
  <si>
    <t>Inactiva 4</t>
  </si>
  <si>
    <t>Inactiva 5</t>
  </si>
  <si>
    <t>Inactiva 6</t>
  </si>
  <si>
    <t>Recuperos</t>
  </si>
  <si>
    <t>%Actividad</t>
  </si>
  <si>
    <t>Activas Frecuentes</t>
  </si>
  <si>
    <t>%Actividad Frecuente</t>
  </si>
  <si>
    <t>Inicios</t>
  </si>
  <si>
    <t>Reinicios</t>
  </si>
  <si>
    <t>Productividad</t>
  </si>
  <si>
    <t>Ganancia estimada</t>
  </si>
  <si>
    <t>FACTURACIÓN</t>
  </si>
  <si>
    <t>GRUPO LIDER</t>
  </si>
  <si>
    <t>DESAFIO FACTURACION</t>
  </si>
  <si>
    <t>FACTURACION A HOY</t>
  </si>
  <si>
    <t>CUMPLIMIENTO DE FACTURACION</t>
  </si>
  <si>
    <t>AVANCE %</t>
  </si>
  <si>
    <t>ACTIVAS</t>
  </si>
  <si>
    <t>DESAFIO ACTIVAS</t>
  </si>
  <si>
    <t>% CUMPLIMIENTO ACTIVAS</t>
  </si>
  <si>
    <t>AVANCE ACTIVAS</t>
  </si>
  <si>
    <t>SALDO</t>
  </si>
  <si>
    <t>RECUPEROS</t>
  </si>
  <si>
    <t>INICIOS</t>
  </si>
  <si>
    <t>REINICIOS</t>
  </si>
  <si>
    <t>AVANCE</t>
  </si>
  <si>
    <t>DISPONIBLES</t>
  </si>
  <si>
    <t>DISPONIBLES INICIALES</t>
  </si>
  <si>
    <t>DISPONIBLES A HOY</t>
  </si>
  <si>
    <t>DISPONIBLES PROYECTADAS</t>
  </si>
  <si>
    <t>FALTAN</t>
  </si>
  <si>
    <t>FALTA I2 ACTIVARSE</t>
  </si>
  <si>
    <t>AVANCE RETENCION I2</t>
  </si>
  <si>
    <t>FALTA I3 ACTIVARSE</t>
  </si>
  <si>
    <t>AVANCE RETENCION I3</t>
  </si>
  <si>
    <t>ACTIVAS Y ACTIVIDAD FRECUENTE</t>
  </si>
  <si>
    <t>ACTIVAS FRECUENTES</t>
  </si>
  <si>
    <t>ACTIVIDAD FRECUENTE</t>
  </si>
  <si>
    <t>INACTIVAS</t>
  </si>
  <si>
    <t>I1</t>
  </si>
  <si>
    <t>I2</t>
  </si>
  <si>
    <t>I3</t>
  </si>
  <si>
    <t>I4</t>
  </si>
  <si>
    <t>I5</t>
  </si>
  <si>
    <t>I6</t>
  </si>
  <si>
    <t>ACTIVIDAD</t>
  </si>
  <si>
    <t>ACTIVIDAD PROYECTADA</t>
  </si>
  <si>
    <t>ACTIVIDAD REAL</t>
  </si>
  <si>
    <t>FALTA PARA DESAFIO ACTIVIDAD</t>
  </si>
  <si>
    <t>PROYECCIÓN DE ACTIVAS</t>
  </si>
  <si>
    <t>ACTIVAS PARA ALCANZAR ACTIVIDAD:</t>
  </si>
  <si>
    <t>ANTERIOR</t>
  </si>
  <si>
    <t>META RETENCIÓN I2</t>
  </si>
  <si>
    <t>META RETENCIÓN I3</t>
  </si>
  <si>
    <t>ACTIVAS QUE FALTAN 100%</t>
  </si>
  <si>
    <t>PRODUCTIVIDAD</t>
  </si>
  <si>
    <t>GERENCIA VENTAS ARTE KARENTH</t>
  </si>
  <si>
    <t>SECTOR ORIGEN</t>
  </si>
  <si>
    <t>% RETENCIÓN META 8%</t>
  </si>
  <si>
    <t>RETENCIÓN I3</t>
  </si>
  <si>
    <t>% RETENCIÓN META 6%</t>
  </si>
  <si>
    <t>RETENCIÓN I2</t>
  </si>
  <si>
    <t>LIDER DE NEGOCIOS</t>
  </si>
  <si>
    <t>FALTA SALDO PROYECTADO +2</t>
  </si>
  <si>
    <t>SECTOR MATICES CLERY</t>
  </si>
  <si>
    <t>CARMENZA RONCANCIO GACHANCIPA</t>
  </si>
  <si>
    <t>Luz Dary Chacon Gaitan</t>
  </si>
  <si>
    <t>LUZ ADRIANA PAEZ VIGOYA</t>
  </si>
  <si>
    <t>LUZ MARY LUNA LEON</t>
  </si>
  <si>
    <t>ANGELA MIREYA MONTENEGRO ROMERO</t>
  </si>
  <si>
    <t>MARIA CRISTINA RUBIO</t>
  </si>
  <si>
    <t>FALTA PARA EL 100%</t>
  </si>
  <si>
    <t xml:space="preserve">CARMENZA RONCANCIO </t>
  </si>
  <si>
    <t>ANGELA MIREYA MONTENEGRO</t>
  </si>
  <si>
    <t>Cuantos faltan</t>
  </si>
  <si>
    <t>Desafio inicios+reinicios Escala de excelencia</t>
  </si>
  <si>
    <t>Total Inicios y Reinicios</t>
  </si>
  <si>
    <t>Creer para ver</t>
  </si>
  <si>
    <t>LLEVO</t>
  </si>
  <si>
    <t xml:space="preserve"> LIDER</t>
  </si>
  <si>
    <t>Activa C5</t>
  </si>
  <si>
    <t>ACTIVAS A HOY</t>
  </si>
  <si>
    <t>Pedidos</t>
  </si>
  <si>
    <t>Desafio de Recuperos</t>
  </si>
  <si>
    <t>ORO</t>
  </si>
  <si>
    <t/>
  </si>
  <si>
    <t>Cuanto falta para el 110%</t>
  </si>
  <si>
    <t>FALTA PARA EL 105%</t>
  </si>
  <si>
    <t>RECUPEROS Esta Mañana</t>
  </si>
  <si>
    <t>compromiso</t>
  </si>
  <si>
    <t>Faltan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</si>
</sst>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%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MS Sans Serif"/>
      <family val="2"/>
    </font>
    <font>
      <sz val="12"/>
      <name val="Ofelia Display"/>
      <family val="2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Ofelia Text"/>
      <family val="2"/>
    </font>
    <font>
      <sz val="1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ptos"/>
      <family val="2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Aptos"/>
    </font>
    <font>
      <sz val="8"/>
      <name val="Aptos"/>
      <family val="2"/>
    </font>
    <font>
      <b/>
      <sz val="10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7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8" fontId="0" fillId="0" borderId="0" xfId="0" applyNumberFormat="1"/>
    <xf numFmtId="10" fontId="0" fillId="0" borderId="0" xfId="0" applyNumberFormat="1"/>
    <xf numFmtId="0" fontId="2" fillId="2" borderId="0" xfId="0" applyFont="1" applyFill="1"/>
    <xf numFmtId="9" fontId="5" fillId="0" borderId="0" xfId="2" applyFont="1" applyFill="1" applyBorder="1" applyAlignment="1" applyProtection="1">
      <alignment horizontal="center"/>
      <protection hidden="1"/>
    </xf>
    <xf numFmtId="0" fontId="5" fillId="4" borderId="2" xfId="0" applyFont="1" applyFill="1" applyBorder="1" applyAlignment="1" applyProtection="1">
      <alignment horizontal="center" vertical="center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1" fontId="4" fillId="0" borderId="2" xfId="2" applyNumberFormat="1" applyFont="1" applyFill="1" applyBorder="1" applyAlignment="1" applyProtection="1">
      <alignment horizontal="center"/>
      <protection hidden="1"/>
    </xf>
    <xf numFmtId="9" fontId="5" fillId="0" borderId="2" xfId="2" applyFont="1" applyFill="1" applyBorder="1" applyAlignment="1" applyProtection="1">
      <alignment horizontal="center"/>
      <protection hidden="1"/>
    </xf>
    <xf numFmtId="1" fontId="4" fillId="0" borderId="0" xfId="2" applyNumberFormat="1" applyFont="1" applyFill="1" applyBorder="1" applyAlignment="1" applyProtection="1">
      <alignment horizontal="center"/>
      <protection hidden="1"/>
    </xf>
    <xf numFmtId="1" fontId="5" fillId="0" borderId="0" xfId="2" applyNumberFormat="1" applyFont="1" applyFill="1" applyBorder="1" applyAlignment="1" applyProtection="1">
      <alignment horizontal="center"/>
      <protection hidden="1"/>
    </xf>
    <xf numFmtId="0" fontId="5" fillId="4" borderId="1" xfId="0" applyFont="1" applyFill="1" applyBorder="1" applyAlignment="1" applyProtection="1">
      <alignment horizontal="center" vertical="center" wrapText="1"/>
      <protection hidden="1"/>
    </xf>
    <xf numFmtId="0" fontId="5" fillId="4" borderId="3" xfId="0" applyFont="1" applyFill="1" applyBorder="1" applyAlignment="1" applyProtection="1">
      <alignment horizontal="center" vertical="center" wrapText="1"/>
      <protection hidden="1"/>
    </xf>
    <xf numFmtId="9" fontId="5" fillId="0" borderId="3" xfId="2" applyFont="1" applyFill="1" applyBorder="1" applyAlignment="1" applyProtection="1">
      <alignment horizontal="center"/>
      <protection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164" fontId="4" fillId="0" borderId="2" xfId="1" applyNumberFormat="1" applyFont="1" applyFill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2" xfId="0" applyFont="1" applyBorder="1" applyAlignment="1" applyProtection="1">
      <alignment horizontal="center"/>
      <protection hidden="1"/>
    </xf>
    <xf numFmtId="10" fontId="5" fillId="5" borderId="2" xfId="2" applyNumberFormat="1" applyFont="1" applyFill="1" applyBorder="1" applyAlignment="1" applyProtection="1">
      <alignment horizontal="center"/>
      <protection hidden="1"/>
    </xf>
    <xf numFmtId="0" fontId="5" fillId="0" borderId="2" xfId="1" applyNumberFormat="1" applyFont="1" applyFill="1" applyBorder="1" applyAlignment="1" applyProtection="1">
      <alignment horizontal="center"/>
      <protection hidden="1"/>
    </xf>
    <xf numFmtId="1" fontId="5" fillId="2" borderId="2" xfId="0" applyNumberFormat="1" applyFont="1" applyFill="1" applyBorder="1" applyAlignment="1" applyProtection="1">
      <alignment horizontal="center"/>
      <protection hidden="1"/>
    </xf>
    <xf numFmtId="0" fontId="5" fillId="4" borderId="2" xfId="0" applyFont="1" applyFill="1" applyBorder="1" applyAlignment="1" applyProtection="1">
      <alignment horizontal="left" vertical="center" wrapText="1"/>
      <protection hidden="1"/>
    </xf>
    <xf numFmtId="0" fontId="5" fillId="0" borderId="2" xfId="0" applyFont="1" applyBorder="1" applyAlignment="1" applyProtection="1">
      <alignment horizontal="left"/>
      <protection hidden="1"/>
    </xf>
    <xf numFmtId="0" fontId="5" fillId="0" borderId="0" xfId="0" applyFont="1" applyAlignment="1" applyProtection="1">
      <alignment horizontal="left"/>
      <protection hidden="1"/>
    </xf>
    <xf numFmtId="0" fontId="5" fillId="6" borderId="2" xfId="0" applyFont="1" applyFill="1" applyBorder="1" applyAlignment="1" applyProtection="1">
      <alignment horizontal="left"/>
      <protection hidden="1"/>
    </xf>
    <xf numFmtId="0" fontId="4" fillId="0" borderId="2" xfId="0" applyFont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left"/>
      <protection hidden="1"/>
    </xf>
    <xf numFmtId="10" fontId="5" fillId="0" borderId="2" xfId="2" applyNumberFormat="1" applyFont="1" applyFill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3" xfId="0" applyFont="1" applyBorder="1" applyAlignment="1" applyProtection="1">
      <alignment horizontal="center"/>
      <protection hidden="1"/>
    </xf>
    <xf numFmtId="0" fontId="5" fillId="5" borderId="3" xfId="0" applyFont="1" applyFill="1" applyBorder="1" applyAlignment="1" applyProtection="1">
      <alignment horizontal="center"/>
      <protection hidden="1"/>
    </xf>
    <xf numFmtId="1" fontId="5" fillId="0" borderId="3" xfId="2" applyNumberFormat="1" applyFont="1" applyFill="1" applyBorder="1" applyAlignment="1" applyProtection="1">
      <alignment horizontal="center"/>
      <protection hidden="1"/>
    </xf>
    <xf numFmtId="0" fontId="5" fillId="2" borderId="2" xfId="0" applyFont="1" applyFill="1" applyBorder="1" applyAlignment="1" applyProtection="1">
      <alignment horizontal="center"/>
      <protection hidden="1"/>
    </xf>
    <xf numFmtId="9" fontId="5" fillId="6" borderId="3" xfId="2" applyFont="1" applyFill="1" applyBorder="1" applyAlignment="1" applyProtection="1">
      <alignment horizontal="center"/>
      <protection hidden="1"/>
    </xf>
    <xf numFmtId="1" fontId="5" fillId="2" borderId="3" xfId="0" applyNumberFormat="1" applyFont="1" applyFill="1" applyBorder="1" applyAlignment="1" applyProtection="1">
      <alignment horizontal="center"/>
      <protection hidden="1"/>
    </xf>
    <xf numFmtId="10" fontId="5" fillId="0" borderId="2" xfId="0" applyNumberFormat="1" applyFont="1" applyBorder="1" applyAlignment="1" applyProtection="1">
      <alignment horizontal="center"/>
      <protection hidden="1"/>
    </xf>
    <xf numFmtId="165" fontId="5" fillId="0" borderId="2" xfId="0" applyNumberFormat="1" applyFont="1" applyBorder="1" applyAlignment="1" applyProtection="1">
      <alignment horizontal="center"/>
      <protection hidden="1"/>
    </xf>
    <xf numFmtId="9" fontId="5" fillId="0" borderId="2" xfId="0" applyNumberFormat="1" applyFont="1" applyBorder="1" applyAlignment="1" applyProtection="1">
      <alignment horizontal="center"/>
      <protection hidden="1"/>
    </xf>
    <xf numFmtId="10" fontId="5" fillId="0" borderId="3" xfId="0" applyNumberFormat="1" applyFont="1" applyBorder="1" applyAlignment="1" applyProtection="1">
      <alignment horizontal="center"/>
      <protection hidden="1"/>
    </xf>
    <xf numFmtId="1" fontId="5" fillId="2" borderId="2" xfId="2" applyNumberFormat="1" applyFont="1" applyFill="1" applyBorder="1" applyAlignment="1" applyProtection="1">
      <alignment horizontal="center"/>
      <protection hidden="1"/>
    </xf>
    <xf numFmtId="9" fontId="0" fillId="0" borderId="0" xfId="0" applyNumberFormat="1"/>
    <xf numFmtId="0" fontId="6" fillId="7" borderId="0" xfId="0" applyFont="1" applyFill="1" applyAlignment="1" applyProtection="1">
      <alignment horizontal="left"/>
      <protection hidden="1"/>
    </xf>
    <xf numFmtId="0" fontId="8" fillId="8" borderId="2" xfId="3" applyFont="1" applyFill="1" applyBorder="1" applyAlignment="1">
      <alignment horizontal="center"/>
    </xf>
    <xf numFmtId="164" fontId="4" fillId="0" borderId="10" xfId="1" applyNumberFormat="1" applyFont="1" applyBorder="1" applyAlignment="1" applyProtection="1">
      <alignment horizontal="center" vertical="center"/>
      <protection hidden="1"/>
    </xf>
    <xf numFmtId="0" fontId="9" fillId="4" borderId="2" xfId="0" applyFont="1" applyFill="1" applyBorder="1" applyAlignment="1" applyProtection="1">
      <alignment horizontal="center" vertical="center" wrapText="1"/>
      <protection hidden="1"/>
    </xf>
    <xf numFmtId="164" fontId="4" fillId="9" borderId="10" xfId="1" applyNumberFormat="1" applyFont="1" applyFill="1" applyBorder="1" applyAlignment="1" applyProtection="1">
      <alignment horizontal="center" vertical="center"/>
      <protection hidden="1"/>
    </xf>
    <xf numFmtId="0" fontId="12" fillId="11" borderId="2" xfId="0" applyFont="1" applyFill="1" applyBorder="1" applyAlignment="1" applyProtection="1">
      <alignment horizontal="center"/>
      <protection hidden="1"/>
    </xf>
    <xf numFmtId="0" fontId="5" fillId="2" borderId="2" xfId="0" applyFont="1" applyFill="1" applyBorder="1" applyAlignment="1" applyProtection="1">
      <alignment horizontal="center" wrapText="1"/>
      <protection hidden="1"/>
    </xf>
    <xf numFmtId="0" fontId="5" fillId="8" borderId="2" xfId="0" applyFont="1" applyFill="1" applyBorder="1" applyAlignment="1" applyProtection="1">
      <alignment horizontal="center" vertical="center"/>
      <protection hidden="1"/>
    </xf>
    <xf numFmtId="164" fontId="4" fillId="13" borderId="10" xfId="1" applyNumberFormat="1" applyFont="1" applyFill="1" applyBorder="1" applyAlignment="1" applyProtection="1">
      <alignment horizontal="center" vertical="center"/>
      <protection hidden="1"/>
    </xf>
    <xf numFmtId="0" fontId="3" fillId="3" borderId="0" xfId="0" applyFont="1" applyFill="1" applyAlignment="1" applyProtection="1">
      <alignment horizontal="center"/>
      <protection hidden="1"/>
    </xf>
    <xf numFmtId="0" fontId="5" fillId="2" borderId="12" xfId="0" applyFont="1" applyFill="1" applyBorder="1" applyAlignment="1" applyProtection="1">
      <alignment horizontal="center" vertical="center" wrapText="1"/>
      <protection hidden="1"/>
    </xf>
    <xf numFmtId="0" fontId="5" fillId="5" borderId="10" xfId="0" applyFont="1" applyFill="1" applyBorder="1" applyAlignment="1" applyProtection="1">
      <alignment horizontal="center"/>
      <protection hidden="1"/>
    </xf>
    <xf numFmtId="0" fontId="5" fillId="4" borderId="0" xfId="0" applyFont="1" applyFill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5" fillId="8" borderId="2" xfId="0" applyFont="1" applyFill="1" applyBorder="1" applyAlignment="1" applyProtection="1">
      <alignment horizontal="left"/>
      <protection hidden="1"/>
    </xf>
    <xf numFmtId="165" fontId="5" fillId="8" borderId="2" xfId="2" applyNumberFormat="1" applyFont="1" applyFill="1" applyBorder="1" applyAlignment="1" applyProtection="1">
      <alignment horizontal="center"/>
      <protection hidden="1"/>
    </xf>
    <xf numFmtId="0" fontId="12" fillId="13" borderId="2" xfId="0" applyFont="1" applyFill="1" applyBorder="1" applyAlignment="1" applyProtection="1">
      <alignment horizontal="center"/>
      <protection hidden="1"/>
    </xf>
    <xf numFmtId="0" fontId="15" fillId="4" borderId="10" xfId="0" applyFont="1" applyFill="1" applyBorder="1" applyAlignment="1" applyProtection="1">
      <alignment horizontal="center" vertical="center" wrapText="1"/>
      <protection hidden="1"/>
    </xf>
    <xf numFmtId="0" fontId="12" fillId="14" borderId="2" xfId="0" applyFont="1" applyFill="1" applyBorder="1" applyAlignment="1" applyProtection="1">
      <alignment horizontal="center"/>
      <protection hidden="1"/>
    </xf>
    <xf numFmtId="1" fontId="16" fillId="8" borderId="8" xfId="0" applyNumberFormat="1" applyFont="1" applyFill="1" applyBorder="1" applyAlignment="1" applyProtection="1">
      <alignment horizontal="center"/>
      <protection hidden="1"/>
    </xf>
    <xf numFmtId="1" fontId="5" fillId="8" borderId="2" xfId="0" applyNumberFormat="1" applyFont="1" applyFill="1" applyBorder="1" applyAlignment="1" applyProtection="1">
      <alignment horizontal="center" vertical="center" wrapText="1"/>
      <protection hidden="1"/>
    </xf>
    <xf numFmtId="1" fontId="5" fillId="8" borderId="1" xfId="0" applyNumberFormat="1" applyFont="1" applyFill="1" applyBorder="1" applyAlignment="1" applyProtection="1">
      <alignment horizontal="center" vertical="center" wrapText="1"/>
      <protection hidden="1"/>
    </xf>
    <xf numFmtId="0" fontId="5" fillId="8" borderId="2" xfId="0" applyFont="1" applyFill="1" applyBorder="1" applyAlignment="1" applyProtection="1">
      <alignment horizontal="center" vertical="center" wrapText="1"/>
      <protection hidden="1"/>
    </xf>
    <xf numFmtId="1" fontId="5" fillId="8" borderId="2" xfId="2" applyNumberFormat="1" applyFont="1" applyFill="1" applyBorder="1" applyAlignment="1" applyProtection="1">
      <alignment horizontal="center"/>
      <protection hidden="1"/>
    </xf>
    <xf numFmtId="1" fontId="4" fillId="8" borderId="1" xfId="0" applyNumberFormat="1" applyFont="1" applyFill="1" applyBorder="1" applyAlignment="1" applyProtection="1">
      <alignment horizontal="center"/>
      <protection hidden="1"/>
    </xf>
    <xf numFmtId="1" fontId="4" fillId="8" borderId="2" xfId="0" applyNumberFormat="1" applyFont="1" applyFill="1" applyBorder="1" applyAlignment="1" applyProtection="1">
      <alignment horizontal="center"/>
      <protection hidden="1"/>
    </xf>
    <xf numFmtId="0" fontId="5" fillId="8" borderId="2" xfId="0" applyFont="1" applyFill="1" applyBorder="1" applyAlignment="1" applyProtection="1">
      <alignment horizontal="center"/>
      <protection hidden="1"/>
    </xf>
    <xf numFmtId="10" fontId="5" fillId="8" borderId="2" xfId="2" applyNumberFormat="1" applyFont="1" applyFill="1" applyBorder="1" applyAlignment="1" applyProtection="1">
      <alignment horizontal="center"/>
      <protection hidden="1"/>
    </xf>
    <xf numFmtId="0" fontId="4" fillId="8" borderId="0" xfId="0" applyFont="1" applyFill="1" applyAlignment="1" applyProtection="1">
      <alignment horizontal="center"/>
      <protection hidden="1"/>
    </xf>
    <xf numFmtId="1" fontId="16" fillId="8" borderId="4" xfId="0" applyNumberFormat="1" applyFont="1" applyFill="1" applyBorder="1" applyAlignment="1" applyProtection="1">
      <alignment horizontal="center"/>
      <protection hidden="1"/>
    </xf>
    <xf numFmtId="0" fontId="3" fillId="8" borderId="5" xfId="0" applyFont="1" applyFill="1" applyBorder="1" applyAlignment="1" applyProtection="1">
      <alignment horizontal="center"/>
      <protection hidden="1"/>
    </xf>
    <xf numFmtId="0" fontId="15" fillId="8" borderId="2" xfId="0" applyFont="1" applyFill="1" applyBorder="1" applyAlignment="1" applyProtection="1">
      <alignment horizontal="center" vertical="center" wrapText="1"/>
      <protection hidden="1"/>
    </xf>
    <xf numFmtId="1" fontId="16" fillId="17" borderId="6" xfId="0" applyNumberFormat="1" applyFont="1" applyFill="1" applyBorder="1" applyAlignment="1" applyProtection="1">
      <alignment horizontal="center"/>
      <protection hidden="1"/>
    </xf>
    <xf numFmtId="0" fontId="3" fillId="17" borderId="6" xfId="0" applyFont="1" applyFill="1" applyBorder="1" applyAlignment="1" applyProtection="1">
      <alignment horizontal="center"/>
      <protection hidden="1"/>
    </xf>
    <xf numFmtId="1" fontId="16" fillId="17" borderId="2" xfId="0" applyNumberFormat="1" applyFont="1" applyFill="1" applyBorder="1" applyAlignment="1" applyProtection="1">
      <alignment horizontal="center" vertical="center" wrapText="1"/>
      <protection hidden="1"/>
    </xf>
    <xf numFmtId="0" fontId="4" fillId="8" borderId="2" xfId="0" applyFont="1" applyFill="1" applyBorder="1" applyAlignment="1" applyProtection="1">
      <alignment horizontal="left"/>
      <protection hidden="1"/>
    </xf>
    <xf numFmtId="1" fontId="4" fillId="0" borderId="0" xfId="0" applyNumberFormat="1" applyFont="1" applyAlignment="1" applyProtection="1">
      <alignment horizontal="center"/>
      <protection hidden="1"/>
    </xf>
    <xf numFmtId="1" fontId="11" fillId="12" borderId="11" xfId="3" applyNumberFormat="1" applyFont="1" applyFill="1" applyBorder="1" applyAlignment="1">
      <alignment horizontal="center" vertical="center" wrapText="1"/>
    </xf>
    <xf numFmtId="0" fontId="17" fillId="15" borderId="2" xfId="0" applyFont="1" applyFill="1" applyBorder="1" applyAlignment="1" applyProtection="1">
      <alignment horizontal="center" wrapText="1"/>
      <protection hidden="1"/>
    </xf>
    <xf numFmtId="1" fontId="17" fillId="0" borderId="2" xfId="0" applyNumberFormat="1" applyFont="1" applyBorder="1" applyAlignment="1" applyProtection="1">
      <alignment horizontal="center" vertical="center"/>
      <protection hidden="1"/>
    </xf>
    <xf numFmtId="1" fontId="17" fillId="0" borderId="2" xfId="0" applyNumberFormat="1" applyFont="1" applyBorder="1" applyAlignment="1" applyProtection="1">
      <alignment horizontal="center"/>
      <protection hidden="1"/>
    </xf>
    <xf numFmtId="0" fontId="4" fillId="8" borderId="2" xfId="0" applyFont="1" applyFill="1" applyBorder="1" applyAlignment="1" applyProtection="1">
      <alignment horizontal="center" vertical="center"/>
      <protection hidden="1"/>
    </xf>
    <xf numFmtId="0" fontId="4" fillId="8" borderId="3" xfId="0" applyFont="1" applyFill="1" applyBorder="1" applyAlignment="1" applyProtection="1">
      <alignment horizontal="center" vertical="center"/>
      <protection hidden="1"/>
    </xf>
    <xf numFmtId="1" fontId="12" fillId="11" borderId="2" xfId="0" applyNumberFormat="1" applyFont="1" applyFill="1" applyBorder="1" applyAlignment="1" applyProtection="1">
      <alignment horizontal="center"/>
      <protection hidden="1"/>
    </xf>
    <xf numFmtId="1" fontId="5" fillId="8" borderId="2" xfId="0" applyNumberFormat="1" applyFont="1" applyFill="1" applyBorder="1" applyAlignment="1" applyProtection="1">
      <alignment horizontal="left"/>
      <protection hidden="1"/>
    </xf>
    <xf numFmtId="1" fontId="18" fillId="0" borderId="2" xfId="5" applyNumberFormat="1" applyFont="1" applyBorder="1" applyAlignment="1">
      <alignment horizontal="center"/>
    </xf>
    <xf numFmtId="1" fontId="18" fillId="8" borderId="2" xfId="5" applyNumberFormat="1" applyFont="1" applyFill="1" applyBorder="1" applyAlignment="1">
      <alignment horizontal="center"/>
    </xf>
    <xf numFmtId="1" fontId="5" fillId="9" borderId="3" xfId="0" applyNumberFormat="1" applyFont="1" applyFill="1" applyBorder="1" applyAlignment="1" applyProtection="1">
      <alignment horizontal="center"/>
      <protection hidden="1"/>
    </xf>
    <xf numFmtId="164" fontId="17" fillId="18" borderId="2" xfId="0" applyNumberFormat="1" applyFont="1" applyFill="1" applyBorder="1" applyAlignment="1" applyProtection="1">
      <alignment horizontal="center"/>
      <protection hidden="1"/>
    </xf>
    <xf numFmtId="1" fontId="19" fillId="0" borderId="2" xfId="0" applyNumberFormat="1" applyFont="1" applyBorder="1" applyAlignment="1">
      <alignment horizontal="center"/>
    </xf>
    <xf numFmtId="1" fontId="20" fillId="8" borderId="2" xfId="3" applyNumberFormat="1" applyFont="1" applyFill="1" applyBorder="1" applyAlignment="1">
      <alignment horizontal="center"/>
    </xf>
    <xf numFmtId="0" fontId="5" fillId="8" borderId="2" xfId="0" applyFont="1" applyFill="1" applyBorder="1" applyAlignment="1" applyProtection="1">
      <alignment horizontal="left" vertical="center" wrapText="1"/>
      <protection hidden="1"/>
    </xf>
    <xf numFmtId="0" fontId="5" fillId="16" borderId="2" xfId="0" applyFont="1" applyFill="1" applyBorder="1" applyAlignment="1" applyProtection="1">
      <alignment horizontal="center" vertical="center" wrapText="1"/>
      <protection hidden="1"/>
    </xf>
    <xf numFmtId="0" fontId="5" fillId="16" borderId="3" xfId="0" applyFont="1" applyFill="1" applyBorder="1" applyAlignment="1" applyProtection="1">
      <alignment horizontal="center" vertical="center" wrapText="1"/>
      <protection hidden="1"/>
    </xf>
    <xf numFmtId="0" fontId="5" fillId="9" borderId="2" xfId="0" applyFont="1" applyFill="1" applyBorder="1" applyAlignment="1" applyProtection="1">
      <alignment horizontal="center" vertical="center" wrapText="1"/>
      <protection hidden="1"/>
    </xf>
    <xf numFmtId="3" fontId="0" fillId="0" borderId="0" xfId="0" applyNumberFormat="1"/>
    <xf numFmtId="1" fontId="21" fillId="0" borderId="2" xfId="5" applyNumberFormat="1" applyFont="1" applyFill="1" applyBorder="1" applyAlignment="1">
      <alignment horizontal="center"/>
    </xf>
    <xf numFmtId="1" fontId="21" fillId="8" borderId="2" xfId="5" applyNumberFormat="1" applyFont="1" applyFill="1" applyBorder="1" applyAlignment="1">
      <alignment horizontal="center"/>
    </xf>
    <xf numFmtId="1" fontId="19" fillId="2" borderId="2" xfId="0" applyNumberFormat="1" applyFont="1" applyFill="1" applyBorder="1" applyAlignment="1">
      <alignment horizontal="center"/>
    </xf>
    <xf numFmtId="0" fontId="5" fillId="8" borderId="10" xfId="0" applyFont="1" applyFill="1" applyBorder="1" applyAlignment="1" applyProtection="1">
      <alignment horizontal="center" vertical="center" wrapText="1"/>
      <protection hidden="1"/>
    </xf>
    <xf numFmtId="0" fontId="5" fillId="8" borderId="10" xfId="0" applyFont="1" applyFill="1" applyBorder="1" applyAlignment="1" applyProtection="1">
      <alignment horizontal="center"/>
      <protection hidden="1"/>
    </xf>
    <xf numFmtId="0" fontId="10" fillId="15" borderId="2" xfId="0" applyFont="1" applyFill="1" applyBorder="1" applyAlignment="1" applyProtection="1">
      <alignment horizontal="center" wrapText="1"/>
      <protection hidden="1"/>
    </xf>
    <xf numFmtId="1" fontId="17" fillId="9" borderId="2" xfId="0" applyNumberFormat="1" applyFont="1" applyFill="1" applyBorder="1" applyAlignment="1" applyProtection="1">
      <alignment horizontal="center"/>
      <protection hidden="1"/>
    </xf>
    <xf numFmtId="1" fontId="17" fillId="13" borderId="2" xfId="0" applyNumberFormat="1" applyFont="1" applyFill="1" applyBorder="1" applyAlignment="1" applyProtection="1">
      <alignment horizontal="center"/>
      <protection hidden="1"/>
    </xf>
    <xf numFmtId="1" fontId="2" fillId="16" borderId="2" xfId="0" applyNumberFormat="1" applyFont="1" applyFill="1" applyBorder="1" applyAlignment="1" applyProtection="1">
      <alignment horizontal="center"/>
      <protection hidden="1"/>
    </xf>
    <xf numFmtId="0" fontId="6" fillId="2" borderId="2" xfId="0" applyFont="1" applyFill="1" applyBorder="1" applyAlignment="1" applyProtection="1">
      <alignment horizontal="center"/>
      <protection hidden="1"/>
    </xf>
    <xf numFmtId="1" fontId="5" fillId="14" borderId="2" xfId="0" applyNumberFormat="1" applyFont="1" applyFill="1" applyBorder="1" applyAlignment="1" applyProtection="1">
      <alignment horizontal="center"/>
      <protection hidden="1"/>
    </xf>
    <xf numFmtId="0" fontId="6" fillId="14" borderId="2" xfId="0" applyFont="1" applyFill="1" applyBorder="1" applyAlignment="1" applyProtection="1">
      <alignment horizontal="center"/>
      <protection hidden="1"/>
    </xf>
    <xf numFmtId="1" fontId="5" fillId="9" borderId="2" xfId="0" applyNumberFormat="1" applyFont="1" applyFill="1" applyBorder="1" applyAlignment="1" applyProtection="1">
      <alignment horizontal="center"/>
      <protection hidden="1"/>
    </xf>
    <xf numFmtId="1" fontId="2" fillId="9" borderId="2" xfId="0" applyNumberFormat="1" applyFont="1" applyFill="1" applyBorder="1" applyAlignment="1" applyProtection="1">
      <alignment horizontal="center"/>
      <protection hidden="1"/>
    </xf>
    <xf numFmtId="0" fontId="6" fillId="9" borderId="2" xfId="0" applyFont="1" applyFill="1" applyBorder="1" applyAlignment="1" applyProtection="1">
      <alignment horizontal="center"/>
      <protection hidden="1"/>
    </xf>
    <xf numFmtId="1" fontId="16" fillId="17" borderId="0" xfId="0" applyNumberFormat="1" applyFont="1" applyFill="1" applyAlignment="1" applyProtection="1">
      <alignment horizontal="center" vertical="center" wrapText="1"/>
      <protection hidden="1"/>
    </xf>
    <xf numFmtId="0" fontId="5" fillId="19" borderId="2" xfId="0" applyFont="1" applyFill="1" applyBorder="1" applyAlignment="1" applyProtection="1">
      <alignment horizontal="center"/>
      <protection hidden="1"/>
    </xf>
    <xf numFmtId="0" fontId="4" fillId="20" borderId="2" xfId="0" applyFont="1" applyFill="1" applyBorder="1" applyAlignment="1" applyProtection="1">
      <alignment horizontal="center"/>
      <protection hidden="1"/>
    </xf>
    <xf numFmtId="0" fontId="22" fillId="0" borderId="0" xfId="0" applyFont="1"/>
    <xf numFmtId="8" fontId="22" fillId="0" borderId="0" xfId="0" applyNumberFormat="1" applyFont="1"/>
    <xf numFmtId="9" fontId="22" fillId="0" borderId="0" xfId="0" applyNumberFormat="1" applyFont="1"/>
    <xf numFmtId="10" fontId="22" fillId="0" borderId="0" xfId="0" applyNumberFormat="1" applyFont="1"/>
    <xf numFmtId="0" fontId="4" fillId="10" borderId="2" xfId="0" applyFont="1" applyFill="1" applyBorder="1" applyAlignment="1" applyProtection="1">
      <alignment horizontal="center"/>
      <protection hidden="1"/>
    </xf>
    <xf numFmtId="9" fontId="17" fillId="2" borderId="2" xfId="0" applyNumberFormat="1" applyFont="1" applyFill="1" applyBorder="1" applyAlignment="1" applyProtection="1">
      <alignment horizontal="center" vertical="center" wrapText="1"/>
      <protection hidden="1"/>
    </xf>
    <xf numFmtId="164" fontId="17" fillId="10" borderId="2" xfId="0" applyNumberFormat="1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0" fontId="3" fillId="3" borderId="6" xfId="0" applyFont="1" applyFill="1" applyBorder="1" applyAlignment="1" applyProtection="1">
      <alignment horizontal="center"/>
      <protection hidden="1"/>
    </xf>
    <xf numFmtId="0" fontId="3" fillId="3" borderId="5" xfId="0" applyFont="1" applyFill="1" applyBorder="1" applyAlignment="1" applyProtection="1">
      <alignment horizontal="center"/>
      <protection hidden="1"/>
    </xf>
    <xf numFmtId="0" fontId="3" fillId="3" borderId="7" xfId="0" applyFont="1" applyFill="1" applyBorder="1" applyAlignment="1" applyProtection="1">
      <alignment horizontal="center"/>
      <protection hidden="1"/>
    </xf>
    <xf numFmtId="0" fontId="3" fillId="3" borderId="8" xfId="0" applyFont="1" applyFill="1" applyBorder="1" applyAlignment="1" applyProtection="1">
      <alignment horizontal="center"/>
      <protection hidden="1"/>
    </xf>
    <xf numFmtId="0" fontId="3" fillId="3" borderId="9" xfId="0" applyFont="1" applyFill="1" applyBorder="1" applyAlignment="1" applyProtection="1">
      <alignment horizontal="center"/>
      <protection hidden="1"/>
    </xf>
    <xf numFmtId="0" fontId="2" fillId="2" borderId="0" xfId="0" applyFont="1" applyFill="1" applyAlignment="1">
      <alignment horizontal="center"/>
    </xf>
  </cellXfs>
  <cellStyles count="6">
    <cellStyle name="Millares" xfId="5" builtinId="3"/>
    <cellStyle name="Moneda" xfId="1" builtinId="4"/>
    <cellStyle name="Normal" xfId="0" builtinId="0"/>
    <cellStyle name="Normal 2" xfId="3" xr:uid="{097AEF80-2C4A-4955-9287-195773568D5C}"/>
    <cellStyle name="Normal 2 9 2" xfId="4" xr:uid="{26213F21-0C07-4211-8FD3-A7E470EA4A79}"/>
    <cellStyle name="Porcentaje" xfId="2" builtinId="5"/>
  </cellStyles>
  <dxfs count="0"/>
  <tableStyles count="0" defaultTableStyle="TableStyleMedium2" defaultPivotStyle="PivotStyleLight16"/>
  <colors>
    <mruColors>
      <color rgb="FFFF99FF"/>
      <color rgb="FF711F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E608-3784-4942-813B-1349658D660E}">
  <sheetPr>
    <tabColor rgb="FF00B0F0"/>
  </sheetPr>
  <dimension ref="A1:AY16"/>
  <sheetViews>
    <sheetView workbookViewId="0">
      <selection sqref="A1:AG7"/>
    </sheetView>
  </sheetViews>
  <sheetFormatPr baseColWidth="10" defaultRowHeight="15"/>
  <cols>
    <col min="7" max="7" width="25.7109375" customWidth="1"/>
    <col min="10" max="10" width="18" bestFit="1" customWidth="1"/>
    <col min="11" max="11" width="14.42578125" bestFit="1" customWidth="1"/>
    <col min="33" max="33" width="16.7109375" bestFit="1" customWidth="1"/>
  </cols>
  <sheetData>
    <row r="1" spans="1:51">
      <c r="A1" s="117" t="s">
        <v>0</v>
      </c>
      <c r="B1" s="117" t="s">
        <v>1</v>
      </c>
      <c r="C1" s="117" t="s">
        <v>2</v>
      </c>
      <c r="D1" s="117" t="s">
        <v>3</v>
      </c>
      <c r="E1" s="117" t="s">
        <v>4</v>
      </c>
      <c r="F1" s="117" t="s">
        <v>5</v>
      </c>
      <c r="G1" s="117" t="s">
        <v>6</v>
      </c>
      <c r="H1" s="117" t="s">
        <v>7</v>
      </c>
      <c r="I1" s="117" t="s">
        <v>8</v>
      </c>
      <c r="J1" s="117" t="s">
        <v>9</v>
      </c>
      <c r="K1" s="117" t="s">
        <v>10</v>
      </c>
      <c r="L1" s="117" t="s">
        <v>11</v>
      </c>
      <c r="M1" s="117" t="s">
        <v>12</v>
      </c>
      <c r="N1" s="117" t="s">
        <v>13</v>
      </c>
      <c r="O1" s="117" t="s">
        <v>14</v>
      </c>
      <c r="P1" s="117" t="s">
        <v>15</v>
      </c>
      <c r="Q1" s="117" t="s">
        <v>16</v>
      </c>
      <c r="R1" s="117" t="s">
        <v>17</v>
      </c>
      <c r="S1" s="117" t="s">
        <v>18</v>
      </c>
      <c r="T1" s="117" t="s">
        <v>19</v>
      </c>
      <c r="U1" s="117" t="s">
        <v>20</v>
      </c>
      <c r="V1" s="117" t="s">
        <v>21</v>
      </c>
      <c r="W1" s="117" t="s">
        <v>22</v>
      </c>
      <c r="X1" s="117" t="s">
        <v>23</v>
      </c>
      <c r="Y1" s="117" t="s">
        <v>24</v>
      </c>
      <c r="Z1" s="117" t="s">
        <v>25</v>
      </c>
      <c r="AA1" s="117" t="s">
        <v>26</v>
      </c>
      <c r="AB1" s="117" t="s">
        <v>27</v>
      </c>
      <c r="AC1" s="117" t="s">
        <v>28</v>
      </c>
      <c r="AD1" s="117" t="s">
        <v>29</v>
      </c>
      <c r="AE1" s="117" t="s">
        <v>30</v>
      </c>
      <c r="AF1" s="117" t="s">
        <v>31</v>
      </c>
      <c r="AG1" s="117" t="s">
        <v>32</v>
      </c>
    </row>
    <row r="2" spans="1:51">
      <c r="A2" s="117">
        <v>202611</v>
      </c>
      <c r="B2" s="117">
        <v>700000003</v>
      </c>
      <c r="C2" s="117" t="s">
        <v>78</v>
      </c>
      <c r="D2" s="117">
        <v>700000459</v>
      </c>
      <c r="E2" s="117" t="s">
        <v>86</v>
      </c>
      <c r="F2" s="117">
        <v>1021104</v>
      </c>
      <c r="G2" s="117" t="s">
        <v>87</v>
      </c>
      <c r="H2" s="117" t="s">
        <v>106</v>
      </c>
      <c r="I2" s="117">
        <v>7841</v>
      </c>
      <c r="J2" s="118">
        <v>48994378.93</v>
      </c>
      <c r="K2" s="118">
        <v>49623875</v>
      </c>
      <c r="L2" s="119">
        <v>1.0127999999999999</v>
      </c>
      <c r="M2" s="117">
        <v>145</v>
      </c>
      <c r="N2" s="117">
        <v>146</v>
      </c>
      <c r="O2" s="120">
        <v>1.0068999999999999</v>
      </c>
      <c r="P2" s="117">
        <v>0</v>
      </c>
      <c r="Q2" s="117">
        <v>0</v>
      </c>
      <c r="R2" s="117">
        <v>10</v>
      </c>
      <c r="S2" s="117">
        <v>242</v>
      </c>
      <c r="T2" s="117">
        <v>57</v>
      </c>
      <c r="U2" s="117">
        <v>27</v>
      </c>
      <c r="V2" s="117">
        <v>12</v>
      </c>
      <c r="W2" s="117">
        <v>7</v>
      </c>
      <c r="X2" s="117">
        <v>4</v>
      </c>
      <c r="Y2" s="117">
        <v>3</v>
      </c>
      <c r="Z2" s="117">
        <v>13</v>
      </c>
      <c r="AA2" s="120">
        <v>0.60329999999999995</v>
      </c>
      <c r="AB2" s="117">
        <v>124</v>
      </c>
      <c r="AC2" s="120">
        <v>0.51239999999999997</v>
      </c>
      <c r="AD2" s="117">
        <v>7</v>
      </c>
      <c r="AE2" s="117">
        <v>3</v>
      </c>
      <c r="AF2" s="117">
        <v>10.643835616438356</v>
      </c>
      <c r="AG2" s="118">
        <v>3225551.88</v>
      </c>
    </row>
    <row r="3" spans="1:51">
      <c r="A3" s="117">
        <v>202611</v>
      </c>
      <c r="B3" s="117">
        <v>700000003</v>
      </c>
      <c r="C3" s="117" t="s">
        <v>78</v>
      </c>
      <c r="D3" s="117">
        <v>700000459</v>
      </c>
      <c r="E3" s="117" t="s">
        <v>86</v>
      </c>
      <c r="F3" s="117">
        <v>813431</v>
      </c>
      <c r="G3" s="117" t="s">
        <v>88</v>
      </c>
      <c r="H3" s="117" t="s">
        <v>106</v>
      </c>
      <c r="I3" s="117">
        <v>8425</v>
      </c>
      <c r="J3" s="118">
        <v>64916189.909999996</v>
      </c>
      <c r="K3" s="118">
        <v>69917557</v>
      </c>
      <c r="L3" s="119">
        <v>1.077</v>
      </c>
      <c r="M3" s="117">
        <v>149</v>
      </c>
      <c r="N3" s="117">
        <v>153</v>
      </c>
      <c r="O3" s="120">
        <v>1.0267999999999999</v>
      </c>
      <c r="P3" s="117">
        <v>0</v>
      </c>
      <c r="Q3" s="117">
        <v>0</v>
      </c>
      <c r="R3" s="117">
        <v>4</v>
      </c>
      <c r="S3" s="117">
        <v>246</v>
      </c>
      <c r="T3" s="117">
        <v>48</v>
      </c>
      <c r="U3" s="117">
        <v>25</v>
      </c>
      <c r="V3" s="117">
        <v>20</v>
      </c>
      <c r="W3" s="117">
        <v>7</v>
      </c>
      <c r="X3" s="117">
        <v>8</v>
      </c>
      <c r="Y3" s="117">
        <v>2</v>
      </c>
      <c r="Z3" s="117">
        <v>11</v>
      </c>
      <c r="AA3" s="120">
        <v>0.622</v>
      </c>
      <c r="AB3" s="117">
        <v>136</v>
      </c>
      <c r="AC3" s="120">
        <v>0.55279999999999996</v>
      </c>
      <c r="AD3" s="117">
        <v>4</v>
      </c>
      <c r="AE3" s="117">
        <v>2</v>
      </c>
      <c r="AF3" s="117">
        <v>11.450980392156863</v>
      </c>
      <c r="AG3" s="118">
        <v>4037738.92</v>
      </c>
    </row>
    <row r="4" spans="1:51">
      <c r="A4" s="117">
        <v>202611</v>
      </c>
      <c r="B4" s="117">
        <v>700000003</v>
      </c>
      <c r="C4" s="117" t="s">
        <v>78</v>
      </c>
      <c r="D4" s="117">
        <v>700000459</v>
      </c>
      <c r="E4" s="117" t="s">
        <v>86</v>
      </c>
      <c r="F4" s="117">
        <v>768496</v>
      </c>
      <c r="G4" s="117" t="s">
        <v>89</v>
      </c>
      <c r="H4" s="117" t="s">
        <v>107</v>
      </c>
      <c r="I4" s="117">
        <v>8481</v>
      </c>
      <c r="J4" s="118">
        <v>56758470.520000003</v>
      </c>
      <c r="K4" s="118">
        <v>62664913</v>
      </c>
      <c r="L4" s="119">
        <v>1.1041000000000001</v>
      </c>
      <c r="M4" s="117">
        <v>141</v>
      </c>
      <c r="N4" s="117">
        <v>143</v>
      </c>
      <c r="O4" s="120">
        <v>1.0142</v>
      </c>
      <c r="P4" s="117">
        <v>0</v>
      </c>
      <c r="Q4" s="117">
        <v>0</v>
      </c>
      <c r="R4" s="117">
        <v>2</v>
      </c>
      <c r="S4" s="117">
        <v>219</v>
      </c>
      <c r="T4" s="117">
        <v>49</v>
      </c>
      <c r="U4" s="117">
        <v>15</v>
      </c>
      <c r="V4" s="117">
        <v>12</v>
      </c>
      <c r="W4" s="117">
        <v>9</v>
      </c>
      <c r="X4" s="117">
        <v>12</v>
      </c>
      <c r="Y4" s="117">
        <v>3</v>
      </c>
      <c r="Z4" s="117">
        <v>13</v>
      </c>
      <c r="AA4" s="120">
        <v>0.65300000000000002</v>
      </c>
      <c r="AB4" s="117">
        <v>126</v>
      </c>
      <c r="AC4" s="120">
        <v>0.57530000000000003</v>
      </c>
      <c r="AD4" s="117">
        <v>4</v>
      </c>
      <c r="AE4" s="117">
        <v>0</v>
      </c>
      <c r="AF4" s="117">
        <v>11.951048951048952</v>
      </c>
      <c r="AG4" s="118">
        <v>3603232.5</v>
      </c>
    </row>
    <row r="5" spans="1:51">
      <c r="A5" s="117">
        <v>202611</v>
      </c>
      <c r="B5" s="117">
        <v>700000003</v>
      </c>
      <c r="C5" s="117" t="s">
        <v>78</v>
      </c>
      <c r="D5" s="117">
        <v>700000459</v>
      </c>
      <c r="E5" s="117" t="s">
        <v>86</v>
      </c>
      <c r="F5" s="117">
        <v>1077740</v>
      </c>
      <c r="G5" s="117" t="s">
        <v>90</v>
      </c>
      <c r="H5" s="117" t="s">
        <v>106</v>
      </c>
      <c r="I5" s="117">
        <v>9291</v>
      </c>
      <c r="J5" s="118">
        <v>26606005.43</v>
      </c>
      <c r="K5" s="118">
        <v>25333760</v>
      </c>
      <c r="L5" s="119">
        <v>0.95220000000000005</v>
      </c>
      <c r="M5" s="117">
        <v>88</v>
      </c>
      <c r="N5" s="117">
        <v>83</v>
      </c>
      <c r="O5" s="120">
        <v>0.94320000000000004</v>
      </c>
      <c r="P5" s="117">
        <v>0</v>
      </c>
      <c r="Q5" s="117">
        <v>0</v>
      </c>
      <c r="R5" s="117">
        <v>0</v>
      </c>
      <c r="S5" s="117">
        <v>141</v>
      </c>
      <c r="T5" s="117">
        <v>37</v>
      </c>
      <c r="U5" s="117">
        <v>16</v>
      </c>
      <c r="V5" s="117">
        <v>5</v>
      </c>
      <c r="W5" s="117">
        <v>9</v>
      </c>
      <c r="X5" s="117">
        <v>5</v>
      </c>
      <c r="Y5" s="117">
        <v>3</v>
      </c>
      <c r="Z5" s="117">
        <v>6</v>
      </c>
      <c r="AA5" s="120">
        <v>0.5887</v>
      </c>
      <c r="AB5" s="117">
        <v>68</v>
      </c>
      <c r="AC5" s="120">
        <v>0.48230000000000001</v>
      </c>
      <c r="AD5" s="117">
        <v>6</v>
      </c>
      <c r="AE5" s="117">
        <v>3</v>
      </c>
      <c r="AF5" s="117">
        <v>8.6867469879518069</v>
      </c>
      <c r="AG5" s="118">
        <v>344539.14</v>
      </c>
    </row>
    <row r="6" spans="1:51">
      <c r="A6" s="117">
        <v>202611</v>
      </c>
      <c r="B6" s="117">
        <v>700000003</v>
      </c>
      <c r="C6" s="117" t="s">
        <v>78</v>
      </c>
      <c r="D6" s="117">
        <v>700000459</v>
      </c>
      <c r="E6" s="117" t="s">
        <v>86</v>
      </c>
      <c r="F6" s="117">
        <v>1099653</v>
      </c>
      <c r="G6" s="117" t="s">
        <v>91</v>
      </c>
      <c r="H6" s="117" t="s">
        <v>107</v>
      </c>
      <c r="I6" s="117">
        <v>9334</v>
      </c>
      <c r="J6" s="118">
        <v>36505654.210000001</v>
      </c>
      <c r="K6" s="118">
        <v>39088219.799999997</v>
      </c>
      <c r="L6" s="119">
        <v>1.0707</v>
      </c>
      <c r="M6" s="117">
        <v>98</v>
      </c>
      <c r="N6" s="117">
        <v>102</v>
      </c>
      <c r="O6" s="120">
        <v>1.0407999999999999</v>
      </c>
      <c r="P6" s="117">
        <v>0</v>
      </c>
      <c r="Q6" s="117">
        <v>0</v>
      </c>
      <c r="R6" s="117">
        <v>3</v>
      </c>
      <c r="S6" s="117">
        <v>155</v>
      </c>
      <c r="T6" s="117">
        <v>30</v>
      </c>
      <c r="U6" s="117">
        <v>12</v>
      </c>
      <c r="V6" s="117">
        <v>11</v>
      </c>
      <c r="W6" s="117">
        <v>6</v>
      </c>
      <c r="X6" s="117">
        <v>5</v>
      </c>
      <c r="Y6" s="117">
        <v>6</v>
      </c>
      <c r="Z6" s="117">
        <v>7</v>
      </c>
      <c r="AA6" s="120">
        <v>0.65810000000000002</v>
      </c>
      <c r="AB6" s="117">
        <v>91</v>
      </c>
      <c r="AC6" s="120">
        <v>0.58709999999999996</v>
      </c>
      <c r="AD6" s="117">
        <v>2</v>
      </c>
      <c r="AE6" s="117">
        <v>2</v>
      </c>
      <c r="AF6" s="117">
        <v>12.117647058823529</v>
      </c>
      <c r="AG6" s="118">
        <v>2154738.12</v>
      </c>
    </row>
    <row r="7" spans="1:51">
      <c r="A7" s="117">
        <v>202611</v>
      </c>
      <c r="B7" s="117">
        <v>700000003</v>
      </c>
      <c r="C7" s="117" t="s">
        <v>78</v>
      </c>
      <c r="D7" s="117">
        <v>700000459</v>
      </c>
      <c r="E7" s="117" t="s">
        <v>86</v>
      </c>
      <c r="F7" s="117">
        <v>985990</v>
      </c>
      <c r="G7" s="117" t="s">
        <v>92</v>
      </c>
      <c r="H7" s="117" t="s">
        <v>106</v>
      </c>
      <c r="I7" s="117">
        <v>9400</v>
      </c>
      <c r="J7" s="118">
        <v>17013948.940000001</v>
      </c>
      <c r="K7" s="118">
        <v>15862661</v>
      </c>
      <c r="L7" s="119">
        <v>0.93230000000000002</v>
      </c>
      <c r="M7" s="117">
        <v>57</v>
      </c>
      <c r="N7" s="117">
        <v>55</v>
      </c>
      <c r="O7" s="120">
        <v>0.96489999999999998</v>
      </c>
      <c r="P7" s="117">
        <v>0</v>
      </c>
      <c r="Q7" s="117">
        <v>0</v>
      </c>
      <c r="R7" s="117">
        <v>1</v>
      </c>
      <c r="S7" s="117">
        <v>94</v>
      </c>
      <c r="T7" s="117">
        <v>15</v>
      </c>
      <c r="U7" s="117">
        <v>11</v>
      </c>
      <c r="V7" s="117">
        <v>13</v>
      </c>
      <c r="W7" s="117">
        <v>8</v>
      </c>
      <c r="X7" s="117">
        <v>9</v>
      </c>
      <c r="Y7" s="117">
        <v>4</v>
      </c>
      <c r="Z7" s="117">
        <v>0</v>
      </c>
      <c r="AA7" s="120">
        <v>0.58509999999999995</v>
      </c>
      <c r="AB7" s="117">
        <v>47</v>
      </c>
      <c r="AC7" s="120">
        <v>0.5</v>
      </c>
      <c r="AD7" s="117">
        <v>8</v>
      </c>
      <c r="AE7" s="117">
        <v>0</v>
      </c>
      <c r="AF7" s="117">
        <v>8.1999999999999993</v>
      </c>
      <c r="AG7" s="118">
        <v>241112.45</v>
      </c>
    </row>
    <row r="8" spans="1:51">
      <c r="J8" s="1"/>
      <c r="K8" s="1"/>
      <c r="L8" s="40"/>
      <c r="O8" s="2"/>
      <c r="AA8" s="2"/>
      <c r="AC8" s="2"/>
      <c r="AG8" s="1"/>
    </row>
    <row r="9" spans="1:51" ht="18.75">
      <c r="A9" s="130" t="s">
        <v>73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1">
      <c r="A10" s="117" t="s">
        <v>0</v>
      </c>
      <c r="B10" s="117" t="s">
        <v>1</v>
      </c>
      <c r="C10" s="117" t="s">
        <v>2</v>
      </c>
      <c r="D10" s="117" t="s">
        <v>3</v>
      </c>
      <c r="E10" s="117" t="s">
        <v>4</v>
      </c>
      <c r="F10" s="117" t="s">
        <v>5</v>
      </c>
      <c r="G10" s="117" t="s">
        <v>6</v>
      </c>
      <c r="H10" s="117" t="s">
        <v>7</v>
      </c>
      <c r="I10" s="117" t="s">
        <v>8</v>
      </c>
      <c r="J10" s="117" t="s">
        <v>9</v>
      </c>
      <c r="K10" s="117" t="s">
        <v>10</v>
      </c>
      <c r="L10" s="117" t="s">
        <v>11</v>
      </c>
      <c r="M10" s="117" t="s">
        <v>12</v>
      </c>
      <c r="N10" s="117" t="s">
        <v>13</v>
      </c>
      <c r="O10" s="117" t="s">
        <v>14</v>
      </c>
      <c r="P10" s="117" t="s">
        <v>15</v>
      </c>
      <c r="Q10" s="117" t="s">
        <v>16</v>
      </c>
      <c r="R10" s="117" t="s">
        <v>17</v>
      </c>
      <c r="S10" s="117" t="s">
        <v>18</v>
      </c>
      <c r="T10" s="117" t="s">
        <v>19</v>
      </c>
      <c r="U10" s="117" t="s">
        <v>20</v>
      </c>
      <c r="V10" s="117" t="s">
        <v>21</v>
      </c>
      <c r="W10" s="117" t="s">
        <v>22</v>
      </c>
      <c r="X10" s="117" t="s">
        <v>23</v>
      </c>
      <c r="Y10" s="117" t="s">
        <v>24</v>
      </c>
      <c r="Z10" s="117" t="s">
        <v>25</v>
      </c>
      <c r="AA10" s="117" t="s">
        <v>26</v>
      </c>
      <c r="AB10" s="117" t="s">
        <v>27</v>
      </c>
      <c r="AC10" s="117" t="s">
        <v>28</v>
      </c>
      <c r="AD10" s="117" t="s">
        <v>29</v>
      </c>
      <c r="AE10" s="117" t="s">
        <v>30</v>
      </c>
      <c r="AF10" s="117" t="s">
        <v>31</v>
      </c>
      <c r="AG10" s="117" t="s">
        <v>32</v>
      </c>
      <c r="AH10" t="s">
        <v>15</v>
      </c>
      <c r="AI10" t="s">
        <v>16</v>
      </c>
      <c r="AJ10" t="s">
        <v>17</v>
      </c>
      <c r="AK10" t="s">
        <v>18</v>
      </c>
      <c r="AL10" t="s">
        <v>19</v>
      </c>
      <c r="AM10" t="s">
        <v>20</v>
      </c>
      <c r="AN10" t="s">
        <v>21</v>
      </c>
      <c r="AO10" t="s">
        <v>22</v>
      </c>
      <c r="AP10" t="s">
        <v>23</v>
      </c>
      <c r="AQ10" t="s">
        <v>24</v>
      </c>
      <c r="AR10" t="s">
        <v>25</v>
      </c>
      <c r="AS10" t="s">
        <v>26</v>
      </c>
      <c r="AT10" t="s">
        <v>27</v>
      </c>
      <c r="AU10" t="s">
        <v>28</v>
      </c>
      <c r="AV10" t="s">
        <v>29</v>
      </c>
      <c r="AW10" t="s">
        <v>30</v>
      </c>
      <c r="AX10" t="s">
        <v>31</v>
      </c>
      <c r="AY10" t="s">
        <v>32</v>
      </c>
    </row>
    <row r="11" spans="1:51">
      <c r="A11" s="117">
        <v>202611</v>
      </c>
      <c r="B11" s="117">
        <v>700000003</v>
      </c>
      <c r="C11" s="117" t="s">
        <v>78</v>
      </c>
      <c r="D11" s="117">
        <v>700000459</v>
      </c>
      <c r="E11" s="117" t="s">
        <v>86</v>
      </c>
      <c r="F11" s="117">
        <v>1021104</v>
      </c>
      <c r="G11" s="117" t="s">
        <v>87</v>
      </c>
      <c r="H11" s="117" t="s">
        <v>106</v>
      </c>
      <c r="I11" s="117">
        <v>7841</v>
      </c>
      <c r="J11" s="118">
        <v>48994378.93</v>
      </c>
      <c r="K11" s="118">
        <v>47628458</v>
      </c>
      <c r="L11" s="119">
        <v>0.97209999999999996</v>
      </c>
      <c r="M11" s="117">
        <v>145</v>
      </c>
      <c r="N11" s="117">
        <v>137</v>
      </c>
      <c r="O11" s="120">
        <v>0.94479999999999997</v>
      </c>
      <c r="P11" s="117">
        <v>0</v>
      </c>
      <c r="Q11" s="117">
        <v>0</v>
      </c>
      <c r="R11" s="117">
        <v>10</v>
      </c>
      <c r="S11" s="117">
        <v>242</v>
      </c>
      <c r="T11" s="117">
        <v>65</v>
      </c>
      <c r="U11" s="117">
        <v>27</v>
      </c>
      <c r="V11" s="117">
        <v>13</v>
      </c>
      <c r="W11" s="117">
        <v>7</v>
      </c>
      <c r="X11" s="117">
        <v>4</v>
      </c>
      <c r="Y11" s="117">
        <v>3</v>
      </c>
      <c r="Z11" s="117">
        <v>13</v>
      </c>
      <c r="AA11" s="120">
        <v>0.56610000000000005</v>
      </c>
      <c r="AB11" s="117">
        <v>115</v>
      </c>
      <c r="AC11" s="120">
        <v>0.47520000000000001</v>
      </c>
      <c r="AD11" s="117">
        <v>7</v>
      </c>
      <c r="AE11" s="117">
        <v>3</v>
      </c>
      <c r="AF11" s="117">
        <v>10.883211678832117</v>
      </c>
      <c r="AG11" s="118">
        <v>990671.93</v>
      </c>
      <c r="AH11">
        <v>0</v>
      </c>
      <c r="AI11">
        <v>0</v>
      </c>
      <c r="AJ11">
        <v>-18</v>
      </c>
      <c r="AK11">
        <v>222</v>
      </c>
      <c r="AL11">
        <v>160</v>
      </c>
      <c r="AM11">
        <v>37</v>
      </c>
      <c r="AN11">
        <v>13</v>
      </c>
      <c r="AO11">
        <v>19</v>
      </c>
      <c r="AP11">
        <v>4</v>
      </c>
      <c r="AQ11">
        <v>3</v>
      </c>
      <c r="AR11">
        <v>1</v>
      </c>
      <c r="AS11" s="2">
        <v>5.4100000000000002E-2</v>
      </c>
      <c r="AT11">
        <v>10</v>
      </c>
      <c r="AU11" s="2">
        <v>4.4999999999999998E-2</v>
      </c>
      <c r="AV11">
        <v>0</v>
      </c>
      <c r="AW11">
        <v>1</v>
      </c>
      <c r="AX11" s="98">
        <v>9583333333</v>
      </c>
      <c r="AY11" s="1">
        <v>0</v>
      </c>
    </row>
    <row r="12" spans="1:51">
      <c r="A12" s="117">
        <v>202611</v>
      </c>
      <c r="B12" s="117">
        <v>700000003</v>
      </c>
      <c r="C12" s="117" t="s">
        <v>78</v>
      </c>
      <c r="D12" s="117">
        <v>700000459</v>
      </c>
      <c r="E12" s="117" t="s">
        <v>86</v>
      </c>
      <c r="F12" s="117">
        <v>813431</v>
      </c>
      <c r="G12" s="117" t="s">
        <v>88</v>
      </c>
      <c r="H12" s="117" t="s">
        <v>106</v>
      </c>
      <c r="I12" s="117">
        <v>8425</v>
      </c>
      <c r="J12" s="118">
        <v>64916189.909999996</v>
      </c>
      <c r="K12" s="118">
        <v>67298901</v>
      </c>
      <c r="L12" s="119">
        <v>1.0367</v>
      </c>
      <c r="M12" s="117">
        <v>149</v>
      </c>
      <c r="N12" s="117">
        <v>144</v>
      </c>
      <c r="O12" s="120">
        <v>0.96640000000000004</v>
      </c>
      <c r="P12" s="117">
        <v>0</v>
      </c>
      <c r="Q12" s="117">
        <v>0</v>
      </c>
      <c r="R12" s="117">
        <v>3</v>
      </c>
      <c r="S12" s="117">
        <v>245</v>
      </c>
      <c r="T12" s="117">
        <v>55</v>
      </c>
      <c r="U12" s="117">
        <v>26</v>
      </c>
      <c r="V12" s="117">
        <v>20</v>
      </c>
      <c r="W12" s="117">
        <v>7</v>
      </c>
      <c r="X12" s="117">
        <v>9</v>
      </c>
      <c r="Y12" s="117">
        <v>2</v>
      </c>
      <c r="Z12" s="117">
        <v>10</v>
      </c>
      <c r="AA12" s="120">
        <v>0.58779999999999999</v>
      </c>
      <c r="AB12" s="117">
        <v>128</v>
      </c>
      <c r="AC12" s="120">
        <v>0.52239999999999998</v>
      </c>
      <c r="AD12" s="117">
        <v>4</v>
      </c>
      <c r="AE12" s="117">
        <v>2</v>
      </c>
      <c r="AF12" s="117">
        <v>11.722222222222221</v>
      </c>
      <c r="AG12" s="118">
        <v>2826553.84</v>
      </c>
      <c r="AH12">
        <v>0</v>
      </c>
      <c r="AI12">
        <v>0</v>
      </c>
      <c r="AJ12">
        <v>-7</v>
      </c>
      <c r="AK12">
        <v>30</v>
      </c>
      <c r="AL12">
        <v>19</v>
      </c>
      <c r="AM12">
        <v>3</v>
      </c>
      <c r="AN12">
        <v>4</v>
      </c>
      <c r="AO12">
        <v>7</v>
      </c>
      <c r="AP12">
        <v>3</v>
      </c>
      <c r="AQ12">
        <v>0</v>
      </c>
      <c r="AR12">
        <v>0</v>
      </c>
      <c r="AS12" s="2">
        <v>0.1333</v>
      </c>
      <c r="AT12">
        <v>4</v>
      </c>
      <c r="AU12" s="2">
        <v>0.1333</v>
      </c>
      <c r="AV12">
        <v>0</v>
      </c>
      <c r="AW12">
        <v>0</v>
      </c>
      <c r="AX12">
        <v>11.75</v>
      </c>
      <c r="AY12" s="1">
        <v>0</v>
      </c>
    </row>
    <row r="13" spans="1:51">
      <c r="A13" s="117">
        <v>202611</v>
      </c>
      <c r="B13" s="117">
        <v>700000003</v>
      </c>
      <c r="C13" s="117" t="s">
        <v>78</v>
      </c>
      <c r="D13" s="117">
        <v>700000459</v>
      </c>
      <c r="E13" s="117" t="s">
        <v>86</v>
      </c>
      <c r="F13" s="117">
        <v>768496</v>
      </c>
      <c r="G13" s="117" t="s">
        <v>89</v>
      </c>
      <c r="H13" s="117" t="s">
        <v>107</v>
      </c>
      <c r="I13" s="117">
        <v>8481</v>
      </c>
      <c r="J13" s="118">
        <v>56758470.520000003</v>
      </c>
      <c r="K13" s="118">
        <v>60770245</v>
      </c>
      <c r="L13" s="119">
        <v>1.0707</v>
      </c>
      <c r="M13" s="117">
        <v>141</v>
      </c>
      <c r="N13" s="117">
        <v>135</v>
      </c>
      <c r="O13" s="120">
        <v>0.95740000000000003</v>
      </c>
      <c r="P13" s="117">
        <v>0</v>
      </c>
      <c r="Q13" s="117">
        <v>0</v>
      </c>
      <c r="R13" s="117">
        <v>0</v>
      </c>
      <c r="S13" s="117">
        <v>217</v>
      </c>
      <c r="T13" s="117">
        <v>55</v>
      </c>
      <c r="U13" s="117">
        <v>15</v>
      </c>
      <c r="V13" s="117">
        <v>12</v>
      </c>
      <c r="W13" s="117">
        <v>11</v>
      </c>
      <c r="X13" s="117">
        <v>12</v>
      </c>
      <c r="Y13" s="117">
        <v>3</v>
      </c>
      <c r="Z13" s="117">
        <v>11</v>
      </c>
      <c r="AA13" s="120">
        <v>0.62209999999999999</v>
      </c>
      <c r="AB13" s="117">
        <v>120</v>
      </c>
      <c r="AC13" s="120">
        <v>0.55300000000000005</v>
      </c>
      <c r="AD13" s="117">
        <v>4</v>
      </c>
      <c r="AE13" s="117">
        <v>0</v>
      </c>
      <c r="AF13" s="117">
        <v>12.229629629629629</v>
      </c>
      <c r="AG13" s="118">
        <v>2066188.33</v>
      </c>
      <c r="AH13">
        <v>0</v>
      </c>
      <c r="AI13">
        <v>0</v>
      </c>
      <c r="AJ13">
        <v>-1</v>
      </c>
      <c r="AK13">
        <v>135</v>
      </c>
      <c r="AL13">
        <v>91</v>
      </c>
      <c r="AM13">
        <v>10</v>
      </c>
      <c r="AN13">
        <v>22</v>
      </c>
      <c r="AO13">
        <v>5</v>
      </c>
      <c r="AP13">
        <v>5</v>
      </c>
      <c r="AQ13">
        <v>11</v>
      </c>
      <c r="AR13">
        <v>0</v>
      </c>
      <c r="AS13" s="2">
        <v>8.8900000000000007E-2</v>
      </c>
      <c r="AT13">
        <v>7</v>
      </c>
      <c r="AU13" s="2">
        <v>5.1900000000000002E-2</v>
      </c>
      <c r="AV13">
        <v>4</v>
      </c>
      <c r="AW13">
        <v>1</v>
      </c>
      <c r="AX13" s="98">
        <v>9666666667</v>
      </c>
      <c r="AY13" s="1">
        <v>0</v>
      </c>
    </row>
    <row r="14" spans="1:51">
      <c r="A14" s="117">
        <v>202611</v>
      </c>
      <c r="B14" s="117">
        <v>700000003</v>
      </c>
      <c r="C14" s="117" t="s">
        <v>78</v>
      </c>
      <c r="D14" s="117">
        <v>700000459</v>
      </c>
      <c r="E14" s="117" t="s">
        <v>86</v>
      </c>
      <c r="F14" s="117">
        <v>1077740</v>
      </c>
      <c r="G14" s="117" t="s">
        <v>90</v>
      </c>
      <c r="H14" s="117" t="s">
        <v>106</v>
      </c>
      <c r="I14" s="117">
        <v>9291</v>
      </c>
      <c r="J14" s="118">
        <v>26606005.43</v>
      </c>
      <c r="K14" s="118">
        <v>24213046</v>
      </c>
      <c r="L14" s="119">
        <v>0.91010000000000002</v>
      </c>
      <c r="M14" s="117">
        <v>88</v>
      </c>
      <c r="N14" s="117">
        <v>79</v>
      </c>
      <c r="O14" s="120">
        <v>0.89770000000000005</v>
      </c>
      <c r="P14" s="117">
        <v>0</v>
      </c>
      <c r="Q14" s="117">
        <v>0</v>
      </c>
      <c r="R14" s="117">
        <v>0</v>
      </c>
      <c r="S14" s="117">
        <v>141</v>
      </c>
      <c r="T14" s="117">
        <v>40</v>
      </c>
      <c r="U14" s="117">
        <v>17</v>
      </c>
      <c r="V14" s="117">
        <v>5</v>
      </c>
      <c r="W14" s="117">
        <v>9</v>
      </c>
      <c r="X14" s="117">
        <v>5</v>
      </c>
      <c r="Y14" s="117">
        <v>3</v>
      </c>
      <c r="Z14" s="117">
        <v>6</v>
      </c>
      <c r="AA14" s="120">
        <v>0.56030000000000002</v>
      </c>
      <c r="AB14" s="117">
        <v>64</v>
      </c>
      <c r="AC14" s="120">
        <v>0.45390000000000003</v>
      </c>
      <c r="AD14" s="117">
        <v>6</v>
      </c>
      <c r="AE14" s="117">
        <v>3</v>
      </c>
      <c r="AF14" s="117">
        <v>8.7721518987341778</v>
      </c>
      <c r="AG14" s="118">
        <v>308716.34000000003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s="2">
        <v>0</v>
      </c>
      <c r="AT14">
        <v>0</v>
      </c>
      <c r="AU14" s="2">
        <v>0</v>
      </c>
      <c r="AV14">
        <v>0</v>
      </c>
      <c r="AW14">
        <v>0</v>
      </c>
      <c r="AX14">
        <v>0</v>
      </c>
      <c r="AY14" s="1">
        <v>0</v>
      </c>
    </row>
    <row r="15" spans="1:51">
      <c r="A15" s="117">
        <v>202611</v>
      </c>
      <c r="B15" s="117">
        <v>700000003</v>
      </c>
      <c r="C15" s="117" t="s">
        <v>78</v>
      </c>
      <c r="D15" s="117">
        <v>700000459</v>
      </c>
      <c r="E15" s="117" t="s">
        <v>86</v>
      </c>
      <c r="F15" s="117">
        <v>1099653</v>
      </c>
      <c r="G15" s="117" t="s">
        <v>91</v>
      </c>
      <c r="H15" s="117" t="s">
        <v>107</v>
      </c>
      <c r="I15" s="117">
        <v>9334</v>
      </c>
      <c r="J15" s="118">
        <v>36505654.210000001</v>
      </c>
      <c r="K15" s="118">
        <v>38474335.799999997</v>
      </c>
      <c r="L15" s="119">
        <v>1.0539000000000001</v>
      </c>
      <c r="M15" s="117">
        <v>98</v>
      </c>
      <c r="N15" s="117">
        <v>101</v>
      </c>
      <c r="O15" s="120">
        <v>1.0306</v>
      </c>
      <c r="P15" s="117">
        <v>0</v>
      </c>
      <c r="Q15" s="117">
        <v>0</v>
      </c>
      <c r="R15" s="117">
        <v>3</v>
      </c>
      <c r="S15" s="117">
        <v>155</v>
      </c>
      <c r="T15" s="117">
        <v>31</v>
      </c>
      <c r="U15" s="117">
        <v>12</v>
      </c>
      <c r="V15" s="117">
        <v>11</v>
      </c>
      <c r="W15" s="117">
        <v>6</v>
      </c>
      <c r="X15" s="117">
        <v>5</v>
      </c>
      <c r="Y15" s="117">
        <v>6</v>
      </c>
      <c r="Z15" s="117">
        <v>7</v>
      </c>
      <c r="AA15" s="120">
        <v>0.65159999999999996</v>
      </c>
      <c r="AB15" s="117">
        <v>90</v>
      </c>
      <c r="AC15" s="120">
        <v>0.5806</v>
      </c>
      <c r="AD15" s="117">
        <v>2</v>
      </c>
      <c r="AE15" s="117">
        <v>2</v>
      </c>
      <c r="AF15" s="117">
        <v>12.158415841584159</v>
      </c>
      <c r="AG15" s="118">
        <v>2120897.7599999998</v>
      </c>
      <c r="AH15">
        <v>0</v>
      </c>
      <c r="AI15">
        <v>0</v>
      </c>
      <c r="AJ15">
        <v>0</v>
      </c>
      <c r="AK15">
        <v>20</v>
      </c>
      <c r="AL15">
        <v>15</v>
      </c>
      <c r="AM15">
        <v>2</v>
      </c>
      <c r="AN15">
        <v>3</v>
      </c>
      <c r="AO15">
        <v>0</v>
      </c>
      <c r="AP15">
        <v>0</v>
      </c>
      <c r="AQ15">
        <v>1</v>
      </c>
      <c r="AR15">
        <v>0</v>
      </c>
      <c r="AS15" s="2">
        <v>0</v>
      </c>
      <c r="AT15">
        <v>0</v>
      </c>
      <c r="AU15" s="2">
        <v>0</v>
      </c>
      <c r="AV15">
        <v>0</v>
      </c>
      <c r="AW15">
        <v>0</v>
      </c>
      <c r="AX15">
        <v>0</v>
      </c>
      <c r="AY15" s="1">
        <v>0</v>
      </c>
    </row>
    <row r="16" spans="1:51">
      <c r="A16" s="117">
        <v>202611</v>
      </c>
      <c r="B16" s="117">
        <v>700000003</v>
      </c>
      <c r="C16" s="117" t="s">
        <v>78</v>
      </c>
      <c r="D16" s="117">
        <v>700000459</v>
      </c>
      <c r="E16" s="117" t="s">
        <v>86</v>
      </c>
      <c r="F16" s="117">
        <v>985990</v>
      </c>
      <c r="G16" s="117" t="s">
        <v>92</v>
      </c>
      <c r="H16" s="117" t="s">
        <v>106</v>
      </c>
      <c r="I16" s="117">
        <v>9400</v>
      </c>
      <c r="J16" s="118">
        <v>17013948.940000001</v>
      </c>
      <c r="K16" s="118">
        <v>14828454</v>
      </c>
      <c r="L16" s="119">
        <v>0.87150000000000005</v>
      </c>
      <c r="M16" s="117">
        <v>57</v>
      </c>
      <c r="N16" s="117">
        <v>52</v>
      </c>
      <c r="O16" s="120">
        <v>0.9123</v>
      </c>
      <c r="P16" s="117">
        <v>0</v>
      </c>
      <c r="Q16" s="117">
        <v>0</v>
      </c>
      <c r="R16" s="117">
        <v>1</v>
      </c>
      <c r="S16" s="117">
        <v>94</v>
      </c>
      <c r="T16" s="117">
        <v>18</v>
      </c>
      <c r="U16" s="117">
        <v>11</v>
      </c>
      <c r="V16" s="117">
        <v>13</v>
      </c>
      <c r="W16" s="117">
        <v>8</v>
      </c>
      <c r="X16" s="117">
        <v>9</v>
      </c>
      <c r="Y16" s="117">
        <v>4</v>
      </c>
      <c r="Z16" s="117">
        <v>0</v>
      </c>
      <c r="AA16" s="120">
        <v>0.55320000000000003</v>
      </c>
      <c r="AB16" s="117">
        <v>44</v>
      </c>
      <c r="AC16" s="120">
        <v>0.46810000000000002</v>
      </c>
      <c r="AD16" s="117">
        <v>8</v>
      </c>
      <c r="AE16" s="117">
        <v>0</v>
      </c>
      <c r="AF16" s="117">
        <v>7.9423076923076925</v>
      </c>
      <c r="AG16" s="118">
        <v>211305.47</v>
      </c>
      <c r="AH16">
        <v>0</v>
      </c>
      <c r="AI16">
        <v>0</v>
      </c>
      <c r="AJ16">
        <v>-20</v>
      </c>
      <c r="AK16">
        <v>210</v>
      </c>
      <c r="AL16">
        <v>141</v>
      </c>
      <c r="AM16">
        <v>35</v>
      </c>
      <c r="AN16">
        <v>23</v>
      </c>
      <c r="AO16">
        <v>20</v>
      </c>
      <c r="AP16">
        <v>6</v>
      </c>
      <c r="AQ16">
        <v>9</v>
      </c>
      <c r="AR16">
        <v>3</v>
      </c>
      <c r="AS16" s="2">
        <v>5.2400000000000002E-2</v>
      </c>
      <c r="AT16">
        <v>8</v>
      </c>
      <c r="AU16" s="2">
        <v>3.8100000000000002E-2</v>
      </c>
      <c r="AV16">
        <v>0</v>
      </c>
      <c r="AW16">
        <v>0</v>
      </c>
      <c r="AX16" s="98">
        <v>1063636364</v>
      </c>
      <c r="AY16" s="1">
        <v>0</v>
      </c>
    </row>
  </sheetData>
  <mergeCells count="1">
    <mergeCell ref="A9:N9"/>
  </mergeCell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AC86-64E9-44D7-8DA8-2153EE45953C}">
  <sheetPr>
    <tabColor rgb="FF00B0F0"/>
  </sheetPr>
  <dimension ref="A1:R102"/>
  <sheetViews>
    <sheetView showGridLines="0" tabSelected="1" topLeftCell="D38" zoomScale="70" zoomScaleNormal="70" workbookViewId="0">
      <selection activeCell="K77" sqref="K77"/>
    </sheetView>
  </sheetViews>
  <sheetFormatPr baseColWidth="10" defaultColWidth="10.85546875" defaultRowHeight="18.75"/>
  <cols>
    <col min="1" max="2" width="0" style="16" hidden="1" customWidth="1"/>
    <col min="3" max="3" width="36.5703125" style="16" hidden="1" customWidth="1"/>
    <col min="4" max="4" width="46.28515625" style="26" customWidth="1"/>
    <col min="5" max="5" width="17.5703125" style="16" customWidth="1"/>
    <col min="6" max="6" width="18.140625" style="16" customWidth="1"/>
    <col min="7" max="7" width="18.140625" style="16" hidden="1" customWidth="1"/>
    <col min="8" max="8" width="21" style="16" customWidth="1"/>
    <col min="9" max="10" width="15.85546875" style="16" customWidth="1"/>
    <col min="11" max="11" width="17.42578125" style="16" customWidth="1"/>
    <col min="12" max="12" width="14.42578125" style="16" customWidth="1"/>
    <col min="13" max="13" width="10.28515625" style="79" customWidth="1"/>
    <col min="14" max="16" width="10.85546875" style="16" customWidth="1"/>
    <col min="17" max="17" width="15.28515625" style="16" customWidth="1"/>
    <col min="18" max="16384" width="10.85546875" style="16"/>
  </cols>
  <sheetData>
    <row r="1" spans="2:13" ht="19.5" thickBot="1"/>
    <row r="2" spans="2:13" ht="26.25">
      <c r="C2" s="127" t="s">
        <v>33</v>
      </c>
      <c r="D2" s="128"/>
      <c r="E2" s="128"/>
      <c r="F2" s="128"/>
      <c r="G2" s="128"/>
      <c r="H2" s="128"/>
      <c r="I2" s="128"/>
      <c r="J2" s="129"/>
    </row>
    <row r="3" spans="2:13" ht="56.45" customHeight="1">
      <c r="C3" s="11" t="s">
        <v>79</v>
      </c>
      <c r="D3" s="21" t="s">
        <v>84</v>
      </c>
      <c r="E3" s="5" t="s">
        <v>35</v>
      </c>
      <c r="F3" s="5" t="s">
        <v>36</v>
      </c>
      <c r="G3" s="5"/>
      <c r="H3" s="5" t="s">
        <v>37</v>
      </c>
      <c r="I3" s="6" t="s">
        <v>38</v>
      </c>
      <c r="J3" s="60" t="s">
        <v>77</v>
      </c>
      <c r="K3" s="81" t="s">
        <v>93</v>
      </c>
      <c r="L3" s="122" t="s">
        <v>108</v>
      </c>
      <c r="M3" s="82" t="s">
        <v>104</v>
      </c>
    </row>
    <row r="4" spans="2:13">
      <c r="C4" s="28" t="str">
        <f>BASE!E2</f>
        <v>SECTOR MATICES CLERY</v>
      </c>
      <c r="D4" s="57" t="str">
        <f>BASE!G2</f>
        <v>CARMENZA RONCANCIO GACHANCIPA</v>
      </c>
      <c r="E4" s="15">
        <f>BASE!J2</f>
        <v>48994378.93</v>
      </c>
      <c r="F4" s="15">
        <f>BASE!K2</f>
        <v>49623875</v>
      </c>
      <c r="G4" s="15"/>
      <c r="H4" s="27">
        <f t="shared" ref="H4:H9" si="0">F4/E4</f>
        <v>1.0128483324770661</v>
      </c>
      <c r="I4" s="58">
        <f>BASE!L2-BASE!L11</f>
        <v>4.0699999999999958E-2</v>
      </c>
      <c r="J4" s="43">
        <f t="shared" ref="J4:J9" si="1">F4/F13</f>
        <v>339889.55479452055</v>
      </c>
      <c r="K4" s="91">
        <f t="shared" ref="K4:K9" si="2">E4-F4</f>
        <v>-629496.0700000003</v>
      </c>
      <c r="L4" s="123">
        <f>E4*110%-(F4)</f>
        <v>4269941.8230000064</v>
      </c>
      <c r="M4" s="106">
        <f>L4/200000</f>
        <v>21.349709115000032</v>
      </c>
    </row>
    <row r="5" spans="2:13">
      <c r="C5" s="28" t="str">
        <f>BASE!E3</f>
        <v>SECTOR MATICES CLERY</v>
      </c>
      <c r="D5" s="57" t="str">
        <f>BASE!G3</f>
        <v>Luz Dary Chacon Gaitan</v>
      </c>
      <c r="E5" s="15">
        <f>BASE!J3</f>
        <v>64916189.909999996</v>
      </c>
      <c r="F5" s="15">
        <f>BASE!K3</f>
        <v>69917557</v>
      </c>
      <c r="G5" s="15"/>
      <c r="H5" s="27">
        <f t="shared" si="0"/>
        <v>1.077043447819934</v>
      </c>
      <c r="I5" s="58">
        <f>BASE!L3-BASE!L12</f>
        <v>4.0300000000000002E-2</v>
      </c>
      <c r="J5" s="45">
        <f t="shared" si="1"/>
        <v>456977.49673202616</v>
      </c>
      <c r="K5" s="91">
        <f t="shared" si="2"/>
        <v>-5001367.0900000036</v>
      </c>
      <c r="L5" s="123">
        <f t="shared" ref="L5:L9" si="3">E5*110%-(F5)</f>
        <v>1490251.901000008</v>
      </c>
      <c r="M5" s="105">
        <f t="shared" ref="M5:M9" si="4">L5/200000</f>
        <v>7.4512595050000403</v>
      </c>
    </row>
    <row r="6" spans="2:13">
      <c r="C6" s="28" t="str">
        <f>BASE!E4</f>
        <v>SECTOR MATICES CLERY</v>
      </c>
      <c r="D6" s="57" t="str">
        <f>BASE!G4</f>
        <v>LUZ ADRIANA PAEZ VIGOYA</v>
      </c>
      <c r="E6" s="15">
        <f>BASE!J4</f>
        <v>56758470.520000003</v>
      </c>
      <c r="F6" s="15">
        <f>BASE!K4</f>
        <v>62664913</v>
      </c>
      <c r="G6" s="15"/>
      <c r="H6" s="27">
        <f t="shared" si="0"/>
        <v>1.1040627491524591</v>
      </c>
      <c r="I6" s="58">
        <f>BASE!L4-BASE!L13</f>
        <v>3.3400000000000096E-2</v>
      </c>
      <c r="J6" s="45">
        <f t="shared" si="1"/>
        <v>438216.17482517485</v>
      </c>
      <c r="K6" s="91">
        <f t="shared" si="2"/>
        <v>-5906442.4799999967</v>
      </c>
      <c r="L6" s="123">
        <f t="shared" si="3"/>
        <v>-230595.4279999882</v>
      </c>
      <c r="M6" s="83">
        <f t="shared" si="4"/>
        <v>-1.1529771399999409</v>
      </c>
    </row>
    <row r="7" spans="2:13">
      <c r="C7" s="28" t="str">
        <f>BASE!E5</f>
        <v>SECTOR MATICES CLERY</v>
      </c>
      <c r="D7" s="57" t="str">
        <f>BASE!G5</f>
        <v>LUZ MARY LUNA LEON</v>
      </c>
      <c r="E7" s="15">
        <f>BASE!J5</f>
        <v>26606005.43</v>
      </c>
      <c r="F7" s="15">
        <f>BASE!K5</f>
        <v>25333760</v>
      </c>
      <c r="G7" s="15"/>
      <c r="H7" s="27">
        <f t="shared" si="0"/>
        <v>0.9521820202079091</v>
      </c>
      <c r="I7" s="58">
        <f>BASE!L5-BASE!L14</f>
        <v>4.2100000000000026E-2</v>
      </c>
      <c r="J7" s="43">
        <f t="shared" si="1"/>
        <v>305226.02409638552</v>
      </c>
      <c r="K7" s="91">
        <f t="shared" si="2"/>
        <v>1272245.4299999997</v>
      </c>
      <c r="L7" s="123">
        <f t="shared" si="3"/>
        <v>3932845.9730000012</v>
      </c>
      <c r="M7" s="83">
        <f t="shared" si="4"/>
        <v>19.664229865000006</v>
      </c>
    </row>
    <row r="8" spans="2:13">
      <c r="C8" s="28" t="str">
        <f>BASE!E6</f>
        <v>SECTOR MATICES CLERY</v>
      </c>
      <c r="D8" s="57" t="str">
        <f>BASE!G6</f>
        <v>ANGELA MIREYA MONTENEGRO ROMERO</v>
      </c>
      <c r="E8" s="15">
        <f>BASE!J6</f>
        <v>36505654.210000001</v>
      </c>
      <c r="F8" s="15">
        <f>BASE!K6</f>
        <v>39088219.799999997</v>
      </c>
      <c r="G8" s="15"/>
      <c r="H8" s="27">
        <f t="shared" si="0"/>
        <v>1.0707442626597978</v>
      </c>
      <c r="I8" s="58">
        <f>BASE!L6-BASE!L15</f>
        <v>1.6799999999999926E-2</v>
      </c>
      <c r="J8" s="49">
        <f t="shared" si="1"/>
        <v>383217.84117647057</v>
      </c>
      <c r="K8" s="91">
        <f t="shared" si="2"/>
        <v>-2582565.5899999961</v>
      </c>
      <c r="L8" s="123">
        <f t="shared" si="3"/>
        <v>1067999.8310000077</v>
      </c>
      <c r="M8" s="83">
        <f t="shared" si="4"/>
        <v>5.3399991550000383</v>
      </c>
    </row>
    <row r="9" spans="2:13">
      <c r="C9" s="28" t="e">
        <f>BASE!#REF!</f>
        <v>#REF!</v>
      </c>
      <c r="D9" s="22" t="str">
        <f>BASE!G7</f>
        <v>MARIA CRISTINA RUBIO</v>
      </c>
      <c r="E9" s="15">
        <f>BASE!J7</f>
        <v>17013948.940000001</v>
      </c>
      <c r="F9" s="15">
        <f>BASE!K7</f>
        <v>15862661</v>
      </c>
      <c r="G9" s="15"/>
      <c r="H9" s="27">
        <f t="shared" si="0"/>
        <v>0.93233270276876701</v>
      </c>
      <c r="I9" s="58">
        <f>BASE!L7-BASE!L16</f>
        <v>6.0799999999999965E-2</v>
      </c>
      <c r="J9" s="43">
        <f t="shared" si="1"/>
        <v>288412.01818181819</v>
      </c>
      <c r="K9" s="91">
        <f t="shared" si="2"/>
        <v>1151287.9400000013</v>
      </c>
      <c r="L9" s="123">
        <f t="shared" si="3"/>
        <v>2852682.8340000026</v>
      </c>
      <c r="M9" s="83">
        <f t="shared" si="4"/>
        <v>14.263414170000013</v>
      </c>
    </row>
    <row r="10" spans="2:13" ht="19.5" thickBot="1">
      <c r="B10" s="16" t="s">
        <v>102</v>
      </c>
    </row>
    <row r="11" spans="2:13" ht="26.25">
      <c r="B11" s="62"/>
      <c r="C11" s="72" t="s">
        <v>39</v>
      </c>
      <c r="D11" s="75"/>
      <c r="E11" s="75"/>
      <c r="F11" s="77" t="s">
        <v>39</v>
      </c>
      <c r="G11" s="114"/>
      <c r="H11" s="76"/>
      <c r="I11" s="76"/>
      <c r="J11" s="73"/>
      <c r="K11" s="71"/>
    </row>
    <row r="12" spans="2:13" ht="48.6" customHeight="1">
      <c r="B12" s="63" t="s">
        <v>37</v>
      </c>
      <c r="C12" s="64" t="s">
        <v>79</v>
      </c>
      <c r="D12" s="63" t="s">
        <v>34</v>
      </c>
      <c r="E12" s="63" t="s">
        <v>40</v>
      </c>
      <c r="F12" s="5" t="s">
        <v>103</v>
      </c>
      <c r="G12" s="5"/>
      <c r="H12" s="65" t="s">
        <v>76</v>
      </c>
      <c r="I12" s="74" t="s">
        <v>41</v>
      </c>
      <c r="J12" s="102" t="s">
        <v>42</v>
      </c>
      <c r="K12" s="104" t="s">
        <v>109</v>
      </c>
    </row>
    <row r="13" spans="2:13">
      <c r="B13" s="66" t="e">
        <f>A13/#REF!</f>
        <v>#REF!</v>
      </c>
      <c r="C13" s="67" t="str">
        <f t="shared" ref="C13:D18" si="5">C4</f>
        <v>SECTOR MATICES CLERY</v>
      </c>
      <c r="D13" s="87" t="str">
        <f t="shared" si="5"/>
        <v>CARMENZA RONCANCIO GACHANCIPA</v>
      </c>
      <c r="E13" s="68">
        <f>BASE!M2</f>
        <v>145</v>
      </c>
      <c r="F13" s="63">
        <f>BASE!N2</f>
        <v>146</v>
      </c>
      <c r="G13" s="63"/>
      <c r="H13" s="69">
        <f t="shared" ref="H13:H18" si="6">(-1*(F13-E13))</f>
        <v>-1</v>
      </c>
      <c r="I13" s="70">
        <f t="shared" ref="I13:I18" si="7">F13/E13</f>
        <v>1.0068965517241379</v>
      </c>
      <c r="J13" s="103">
        <f>BASE!N2-BASE!N11</f>
        <v>9</v>
      </c>
      <c r="K13" s="68">
        <f>E13*105%-(F13)</f>
        <v>6.25</v>
      </c>
    </row>
    <row r="14" spans="2:13">
      <c r="B14" s="66" t="e">
        <f>A14/#REF!</f>
        <v>#REF!</v>
      </c>
      <c r="C14" s="67" t="str">
        <f t="shared" si="5"/>
        <v>SECTOR MATICES CLERY</v>
      </c>
      <c r="D14" s="87" t="str">
        <f t="shared" si="5"/>
        <v>Luz Dary Chacon Gaitan</v>
      </c>
      <c r="E14" s="68">
        <f>BASE!M3</f>
        <v>149</v>
      </c>
      <c r="F14" s="68">
        <f>BASE!N3</f>
        <v>153</v>
      </c>
      <c r="G14" s="68"/>
      <c r="H14" s="69">
        <f t="shared" si="6"/>
        <v>-4</v>
      </c>
      <c r="I14" s="70">
        <f t="shared" si="7"/>
        <v>1.0268456375838926</v>
      </c>
      <c r="J14" s="103">
        <f>BASE!N3-BASE!N12</f>
        <v>9</v>
      </c>
      <c r="K14" s="68">
        <f t="shared" ref="K14:K18" si="8">E14*105%-(F14)</f>
        <v>3.4500000000000171</v>
      </c>
    </row>
    <row r="15" spans="2:13">
      <c r="B15" s="66" t="e">
        <f>A15/#REF!</f>
        <v>#REF!</v>
      </c>
      <c r="C15" s="67" t="str">
        <f t="shared" si="5"/>
        <v>SECTOR MATICES CLERY</v>
      </c>
      <c r="D15" s="87" t="str">
        <f t="shared" si="5"/>
        <v>LUZ ADRIANA PAEZ VIGOYA</v>
      </c>
      <c r="E15" s="68">
        <f>BASE!M4</f>
        <v>141</v>
      </c>
      <c r="F15" s="68">
        <f>BASE!N4</f>
        <v>143</v>
      </c>
      <c r="G15" s="68"/>
      <c r="H15" s="32">
        <f t="shared" si="6"/>
        <v>-2</v>
      </c>
      <c r="I15" s="70">
        <f t="shared" si="7"/>
        <v>1.0141843971631206</v>
      </c>
      <c r="J15" s="103">
        <f>BASE!N4-BASE!N13</f>
        <v>8</v>
      </c>
      <c r="K15" s="68">
        <f t="shared" si="8"/>
        <v>5.0500000000000114</v>
      </c>
    </row>
    <row r="16" spans="2:13">
      <c r="B16" s="66" t="e">
        <f>A16/#REF!</f>
        <v>#REF!</v>
      </c>
      <c r="C16" s="67" t="str">
        <f t="shared" si="5"/>
        <v>SECTOR MATICES CLERY</v>
      </c>
      <c r="D16" s="87" t="str">
        <f t="shared" si="5"/>
        <v>LUZ MARY LUNA LEON</v>
      </c>
      <c r="E16" s="68">
        <f>BASE!M5</f>
        <v>88</v>
      </c>
      <c r="F16" s="68">
        <f>BASE!N5</f>
        <v>83</v>
      </c>
      <c r="G16" s="68"/>
      <c r="H16" s="32">
        <f t="shared" si="6"/>
        <v>5</v>
      </c>
      <c r="I16" s="70">
        <f t="shared" si="7"/>
        <v>0.94318181818181823</v>
      </c>
      <c r="J16" s="103">
        <f>BASE!N5-BASE!N14</f>
        <v>4</v>
      </c>
      <c r="K16" s="68">
        <f t="shared" si="8"/>
        <v>9.4000000000000057</v>
      </c>
    </row>
    <row r="17" spans="1:18">
      <c r="B17" s="27" t="e">
        <f>A17/#REF!</f>
        <v>#REF!</v>
      </c>
      <c r="C17" s="28" t="str">
        <f t="shared" si="5"/>
        <v>SECTOR MATICES CLERY</v>
      </c>
      <c r="D17" s="57" t="str">
        <f t="shared" si="5"/>
        <v>ANGELA MIREYA MONTENEGRO ROMERO</v>
      </c>
      <c r="E17" s="17">
        <f>BASE!M6</f>
        <v>98</v>
      </c>
      <c r="F17" s="17">
        <f>BASE!N6</f>
        <v>102</v>
      </c>
      <c r="G17" s="17"/>
      <c r="H17" s="32">
        <f t="shared" si="6"/>
        <v>-4</v>
      </c>
      <c r="I17" s="18">
        <f t="shared" si="7"/>
        <v>1.0408163265306123</v>
      </c>
      <c r="J17" s="103">
        <f>BASE!N6-BASE!N15</f>
        <v>1</v>
      </c>
      <c r="K17" s="68">
        <f t="shared" si="8"/>
        <v>0.90000000000000568</v>
      </c>
    </row>
    <row r="18" spans="1:18">
      <c r="C18" s="28" t="e">
        <f t="shared" si="5"/>
        <v>#REF!</v>
      </c>
      <c r="D18" s="22" t="str">
        <f t="shared" si="5"/>
        <v>MARIA CRISTINA RUBIO</v>
      </c>
      <c r="E18" s="17">
        <f>BASE!M7</f>
        <v>57</v>
      </c>
      <c r="F18" s="17">
        <f>BASE!N7</f>
        <v>55</v>
      </c>
      <c r="G18" s="17"/>
      <c r="H18" s="32">
        <f t="shared" si="6"/>
        <v>2</v>
      </c>
      <c r="I18" s="18">
        <f t="shared" si="7"/>
        <v>0.96491228070175439</v>
      </c>
      <c r="J18" s="103">
        <f>BASE!N7-BASE!N16</f>
        <v>3</v>
      </c>
      <c r="K18" s="68">
        <f t="shared" si="8"/>
        <v>4.8500000000000014</v>
      </c>
    </row>
    <row r="20" spans="1:18" ht="19.5" thickBot="1"/>
    <row r="21" spans="1:18" ht="42.95" customHeight="1" thickBot="1">
      <c r="C21" s="124" t="s">
        <v>43</v>
      </c>
      <c r="D21" s="125"/>
      <c r="E21" s="125"/>
      <c r="F21" s="125"/>
      <c r="G21" s="125"/>
      <c r="H21" s="125"/>
      <c r="I21" s="125"/>
      <c r="J21" s="125"/>
      <c r="K21" s="126"/>
      <c r="L21" s="50"/>
    </row>
    <row r="22" spans="1:18" ht="60">
      <c r="C22" s="11" t="s">
        <v>79</v>
      </c>
      <c r="D22" s="21" t="s">
        <v>34</v>
      </c>
      <c r="E22" s="5" t="s">
        <v>43</v>
      </c>
      <c r="F22" s="5" t="s">
        <v>85</v>
      </c>
      <c r="G22" s="5" t="s">
        <v>110</v>
      </c>
      <c r="H22" s="5" t="s">
        <v>44</v>
      </c>
      <c r="I22" s="5" t="s">
        <v>45</v>
      </c>
      <c r="J22" s="5" t="s">
        <v>46</v>
      </c>
      <c r="K22" s="14" t="s">
        <v>47</v>
      </c>
      <c r="L22" s="51" t="s">
        <v>98</v>
      </c>
      <c r="M22" s="80" t="s">
        <v>97</v>
      </c>
      <c r="N22" s="47" t="s">
        <v>96</v>
      </c>
      <c r="O22" s="80" t="s">
        <v>105</v>
      </c>
      <c r="P22" s="47" t="s">
        <v>96</v>
      </c>
      <c r="Q22" s="116" t="s">
        <v>111</v>
      </c>
      <c r="R22" s="17" t="s">
        <v>112</v>
      </c>
    </row>
    <row r="23" spans="1:18" ht="22.5" customHeight="1">
      <c r="C23" s="28" t="str">
        <f t="shared" ref="C23:D28" si="9">C13</f>
        <v>SECTOR MATICES CLERY</v>
      </c>
      <c r="D23" s="22" t="str">
        <f t="shared" si="9"/>
        <v>CARMENZA RONCANCIO GACHANCIPA</v>
      </c>
      <c r="E23" s="110">
        <f>BASE!R2</f>
        <v>10</v>
      </c>
      <c r="F23" s="115">
        <f t="shared" ref="F23:F28" si="10">E23-2</f>
        <v>8</v>
      </c>
      <c r="G23" s="115">
        <v>11</v>
      </c>
      <c r="H23" s="48">
        <f>BASE!Z2</f>
        <v>13</v>
      </c>
      <c r="I23" s="48">
        <f>BASE!AD2</f>
        <v>7</v>
      </c>
      <c r="J23" s="48">
        <f>BASE!AE2</f>
        <v>3</v>
      </c>
      <c r="K23" s="30">
        <f>BASE!R2-BASE!R11</f>
        <v>0</v>
      </c>
      <c r="L23" s="52">
        <f>SUM(I23+J23)</f>
        <v>10</v>
      </c>
      <c r="M23" s="99">
        <v>14</v>
      </c>
      <c r="N23" s="86">
        <f>M23-L23</f>
        <v>4</v>
      </c>
      <c r="O23" s="92">
        <v>8</v>
      </c>
      <c r="P23" s="86">
        <f>O23-H23</f>
        <v>-5</v>
      </c>
      <c r="Q23" s="17">
        <v>1</v>
      </c>
      <c r="R23" s="17">
        <f>Q23-K23</f>
        <v>1</v>
      </c>
    </row>
    <row r="24" spans="1:18" ht="22.5" customHeight="1">
      <c r="C24" s="28" t="str">
        <f t="shared" si="9"/>
        <v>SECTOR MATICES CLERY</v>
      </c>
      <c r="D24" s="22" t="str">
        <f t="shared" si="9"/>
        <v>Luz Dary Chacon Gaitan</v>
      </c>
      <c r="E24" s="113">
        <f>BASE!R3</f>
        <v>4</v>
      </c>
      <c r="F24" s="115">
        <f t="shared" si="10"/>
        <v>2</v>
      </c>
      <c r="G24" s="115">
        <v>8</v>
      </c>
      <c r="H24" s="48">
        <f>BASE!Z3</f>
        <v>11</v>
      </c>
      <c r="I24" s="48">
        <f>BASE!AD3</f>
        <v>4</v>
      </c>
      <c r="J24" s="48">
        <f>BASE!AE3</f>
        <v>2</v>
      </c>
      <c r="K24" s="30">
        <f>BASE!R3-BASE!R12</f>
        <v>1</v>
      </c>
      <c r="L24" s="52">
        <f t="shared" ref="L24:L28" si="11">SUM(I24+J24)</f>
        <v>6</v>
      </c>
      <c r="M24" s="99">
        <v>15</v>
      </c>
      <c r="N24" s="46">
        <f t="shared" ref="N24:N28" si="12">M24-L24</f>
        <v>9</v>
      </c>
      <c r="O24" s="92">
        <v>7</v>
      </c>
      <c r="P24" s="86">
        <f>O24-H24</f>
        <v>-4</v>
      </c>
      <c r="Q24" s="17">
        <v>3</v>
      </c>
      <c r="R24" s="121">
        <f t="shared" ref="R24:R28" si="13">Q24-K24</f>
        <v>2</v>
      </c>
    </row>
    <row r="25" spans="1:18" ht="22.5" customHeight="1">
      <c r="C25" s="28" t="str">
        <f t="shared" si="9"/>
        <v>SECTOR MATICES CLERY</v>
      </c>
      <c r="D25" s="22" t="str">
        <f t="shared" si="9"/>
        <v>LUZ ADRIANA PAEZ VIGOYA</v>
      </c>
      <c r="E25" s="113">
        <f>BASE!R4</f>
        <v>2</v>
      </c>
      <c r="F25" s="115">
        <f t="shared" si="10"/>
        <v>0</v>
      </c>
      <c r="G25" s="115">
        <v>10</v>
      </c>
      <c r="H25" s="48">
        <f>BASE!Z4</f>
        <v>13</v>
      </c>
      <c r="I25" s="48">
        <f>BASE!AD4</f>
        <v>4</v>
      </c>
      <c r="J25" s="48">
        <f>BASE!AE4</f>
        <v>0</v>
      </c>
      <c r="K25" s="30">
        <f>BASE!R4-BASE!R13</f>
        <v>2</v>
      </c>
      <c r="L25" s="52">
        <f t="shared" si="11"/>
        <v>4</v>
      </c>
      <c r="M25" s="99">
        <v>16</v>
      </c>
      <c r="N25" s="59">
        <f t="shared" si="12"/>
        <v>12</v>
      </c>
      <c r="O25" s="92">
        <v>9</v>
      </c>
      <c r="P25" s="86">
        <f t="shared" ref="P25:P28" si="14">O25-H25</f>
        <v>-4</v>
      </c>
      <c r="Q25" s="17">
        <v>2</v>
      </c>
      <c r="R25" s="121">
        <f t="shared" si="13"/>
        <v>0</v>
      </c>
    </row>
    <row r="26" spans="1:18" ht="22.5" customHeight="1">
      <c r="C26" s="28" t="str">
        <f t="shared" si="9"/>
        <v>SECTOR MATICES CLERY</v>
      </c>
      <c r="D26" s="22" t="str">
        <f t="shared" si="9"/>
        <v>LUZ MARY LUNA LEON</v>
      </c>
      <c r="E26" s="108">
        <f>BASE!R5</f>
        <v>0</v>
      </c>
      <c r="F26" s="115">
        <f t="shared" si="10"/>
        <v>-2</v>
      </c>
      <c r="G26" s="115">
        <v>4</v>
      </c>
      <c r="H26" s="48">
        <f>BASE!Z5</f>
        <v>6</v>
      </c>
      <c r="I26" s="48">
        <f>BASE!AD5</f>
        <v>6</v>
      </c>
      <c r="J26" s="48">
        <f>BASE!AE5</f>
        <v>3</v>
      </c>
      <c r="K26" s="30">
        <f>BASE!R5-BASE!R14</f>
        <v>0</v>
      </c>
      <c r="L26" s="52">
        <f t="shared" si="11"/>
        <v>9</v>
      </c>
      <c r="M26" s="99">
        <v>4</v>
      </c>
      <c r="N26" s="46">
        <f t="shared" si="12"/>
        <v>-5</v>
      </c>
      <c r="O26" s="101">
        <v>5</v>
      </c>
      <c r="P26" s="86">
        <f t="shared" si="14"/>
        <v>-1</v>
      </c>
      <c r="Q26" s="17">
        <v>7</v>
      </c>
      <c r="R26" s="121">
        <f t="shared" si="13"/>
        <v>7</v>
      </c>
    </row>
    <row r="27" spans="1:18" ht="22.5" customHeight="1">
      <c r="C27" s="28" t="str">
        <f t="shared" si="9"/>
        <v>SECTOR MATICES CLERY</v>
      </c>
      <c r="D27" s="22" t="str">
        <f t="shared" si="9"/>
        <v>ANGELA MIREYA MONTENEGRO ROMERO</v>
      </c>
      <c r="E27" s="113">
        <f>BASE!R6</f>
        <v>3</v>
      </c>
      <c r="F27" s="115">
        <f t="shared" si="10"/>
        <v>1</v>
      </c>
      <c r="G27" s="115">
        <v>6</v>
      </c>
      <c r="H27" s="48">
        <f>BASE!Z6</f>
        <v>7</v>
      </c>
      <c r="I27" s="48">
        <f>BASE!AD6</f>
        <v>2</v>
      </c>
      <c r="J27" s="48">
        <f>BASE!AE6</f>
        <v>2</v>
      </c>
      <c r="K27" s="30">
        <f>BASE!R6-BASE!R15</f>
        <v>0</v>
      </c>
      <c r="L27" s="52">
        <f t="shared" si="11"/>
        <v>4</v>
      </c>
      <c r="M27" s="100">
        <v>6</v>
      </c>
      <c r="N27" s="46">
        <f t="shared" si="12"/>
        <v>2</v>
      </c>
      <c r="O27" s="92">
        <v>6</v>
      </c>
      <c r="P27" s="86">
        <f t="shared" si="14"/>
        <v>-1</v>
      </c>
      <c r="Q27" s="17">
        <v>1</v>
      </c>
      <c r="R27" s="121">
        <f t="shared" si="13"/>
        <v>1</v>
      </c>
    </row>
    <row r="28" spans="1:18" ht="22.5" customHeight="1">
      <c r="C28" s="28" t="e">
        <f t="shared" si="9"/>
        <v>#REF!</v>
      </c>
      <c r="D28" s="22" t="str">
        <f t="shared" si="9"/>
        <v>MARIA CRISTINA RUBIO</v>
      </c>
      <c r="E28" s="108">
        <f>BASE!R7</f>
        <v>1</v>
      </c>
      <c r="F28" s="115">
        <f t="shared" si="10"/>
        <v>-1</v>
      </c>
      <c r="G28" s="115">
        <v>0</v>
      </c>
      <c r="H28" s="48">
        <f>BASE!Z7</f>
        <v>0</v>
      </c>
      <c r="I28" s="48">
        <f>BASE!AD7</f>
        <v>8</v>
      </c>
      <c r="J28" s="48">
        <f>BASE!AE7</f>
        <v>0</v>
      </c>
      <c r="K28" s="30">
        <f>BASE!R7-BASE!R16</f>
        <v>0</v>
      </c>
      <c r="L28" s="52">
        <f t="shared" si="11"/>
        <v>8</v>
      </c>
      <c r="M28" s="99">
        <v>5</v>
      </c>
      <c r="N28" s="61">
        <f t="shared" si="12"/>
        <v>-3</v>
      </c>
      <c r="O28" s="92">
        <v>5</v>
      </c>
      <c r="P28" s="86">
        <f t="shared" si="14"/>
        <v>5</v>
      </c>
      <c r="Q28" s="17">
        <v>3</v>
      </c>
      <c r="R28" s="121">
        <f t="shared" si="13"/>
        <v>3</v>
      </c>
    </row>
    <row r="29" spans="1:18" ht="19.5" thickBot="1"/>
    <row r="30" spans="1:18" ht="26.25">
      <c r="C30" s="124" t="s">
        <v>48</v>
      </c>
      <c r="D30" s="125"/>
      <c r="E30" s="125"/>
      <c r="F30" s="125"/>
      <c r="G30" s="125"/>
      <c r="H30" s="125"/>
      <c r="I30" s="125"/>
      <c r="J30" s="126"/>
    </row>
    <row r="31" spans="1:18" ht="37.5">
      <c r="C31" s="11" t="s">
        <v>79</v>
      </c>
      <c r="D31" s="21" t="s">
        <v>34</v>
      </c>
      <c r="E31" s="5" t="s">
        <v>49</v>
      </c>
      <c r="F31" s="5" t="s">
        <v>50</v>
      </c>
      <c r="G31" s="5"/>
      <c r="H31" s="5" t="s">
        <v>51</v>
      </c>
      <c r="I31" s="5" t="s">
        <v>52</v>
      </c>
      <c r="J31" s="14" t="s">
        <v>47</v>
      </c>
    </row>
    <row r="32" spans="1:18">
      <c r="A32" s="16">
        <v>7</v>
      </c>
      <c r="B32" s="42">
        <v>202</v>
      </c>
      <c r="C32" s="28" t="str">
        <f t="shared" ref="C32:C37" si="15">C4</f>
        <v>SECTOR MATICES CLERY</v>
      </c>
      <c r="D32" s="22" t="str">
        <f t="shared" ref="D32:D37" si="16">D23</f>
        <v>CARMENZA RONCANCIO GACHANCIPA</v>
      </c>
      <c r="E32" s="88">
        <v>222</v>
      </c>
      <c r="F32" s="88">
        <v>242</v>
      </c>
      <c r="G32" s="88"/>
      <c r="H32" s="93">
        <v>240</v>
      </c>
      <c r="I32" s="112">
        <f>H32-F32</f>
        <v>-2</v>
      </c>
      <c r="J32" s="29">
        <f>BASE!S2-BASE!S11</f>
        <v>0</v>
      </c>
    </row>
    <row r="33" spans="2:10">
      <c r="B33" s="42">
        <v>182</v>
      </c>
      <c r="C33" s="28" t="str">
        <f t="shared" si="15"/>
        <v>SECTOR MATICES CLERY</v>
      </c>
      <c r="D33" s="22" t="str">
        <f t="shared" si="16"/>
        <v>Luz Dary Chacon Gaitan</v>
      </c>
      <c r="E33" s="88">
        <v>229</v>
      </c>
      <c r="F33" s="88">
        <v>245</v>
      </c>
      <c r="G33" s="88"/>
      <c r="H33" s="93">
        <v>244</v>
      </c>
      <c r="I33" s="112">
        <f t="shared" ref="I33:I37" si="17">H33-F33</f>
        <v>-1</v>
      </c>
      <c r="J33" s="29">
        <f>BASE!S3-BASE!S12</f>
        <v>1</v>
      </c>
    </row>
    <row r="34" spans="2:10">
      <c r="B34" s="42">
        <v>136</v>
      </c>
      <c r="C34" s="28" t="str">
        <f t="shared" si="15"/>
        <v>SECTOR MATICES CLERY</v>
      </c>
      <c r="D34" s="57" t="str">
        <f t="shared" si="16"/>
        <v>LUZ ADRIANA PAEZ VIGOYA</v>
      </c>
      <c r="E34" s="89">
        <v>202</v>
      </c>
      <c r="F34" s="89">
        <v>219</v>
      </c>
      <c r="G34" s="89"/>
      <c r="H34" s="93">
        <v>232</v>
      </c>
      <c r="I34" s="107">
        <f t="shared" si="17"/>
        <v>13</v>
      </c>
      <c r="J34" s="29">
        <f>BASE!S4-BASE!S13</f>
        <v>2</v>
      </c>
    </row>
    <row r="35" spans="2:10">
      <c r="B35" s="42">
        <v>224</v>
      </c>
      <c r="C35" s="28" t="str">
        <f t="shared" si="15"/>
        <v>SECTOR MATICES CLERY</v>
      </c>
      <c r="D35" s="22" t="str">
        <f t="shared" si="16"/>
        <v>LUZ MARY LUNA LEON</v>
      </c>
      <c r="E35" s="88">
        <v>127</v>
      </c>
      <c r="F35" s="88">
        <v>141</v>
      </c>
      <c r="G35" s="88"/>
      <c r="H35" s="93">
        <v>146</v>
      </c>
      <c r="I35" s="107">
        <f t="shared" si="17"/>
        <v>5</v>
      </c>
      <c r="J35" s="29">
        <f>BASE!S5-BASE!S14</f>
        <v>0</v>
      </c>
    </row>
    <row r="36" spans="2:10">
      <c r="B36" s="42">
        <v>189</v>
      </c>
      <c r="C36" s="28" t="str">
        <f t="shared" si="15"/>
        <v>SECTOR MATICES CLERY</v>
      </c>
      <c r="D36" s="57" t="str">
        <f t="shared" si="16"/>
        <v>ANGELA MIREYA MONTENEGRO ROMERO</v>
      </c>
      <c r="E36" s="89">
        <v>145</v>
      </c>
      <c r="F36" s="89">
        <v>155</v>
      </c>
      <c r="G36" s="89"/>
      <c r="H36" s="93">
        <v>160</v>
      </c>
      <c r="I36" s="107">
        <f t="shared" si="17"/>
        <v>5</v>
      </c>
      <c r="J36" s="29">
        <f>BASE!S6-BASE!S15</f>
        <v>0</v>
      </c>
    </row>
    <row r="37" spans="2:10">
      <c r="B37" s="42">
        <v>143</v>
      </c>
      <c r="C37" s="28" t="e">
        <f t="shared" si="15"/>
        <v>#REF!</v>
      </c>
      <c r="D37" s="57" t="str">
        <f t="shared" si="16"/>
        <v>MARIA CRISTINA RUBIO</v>
      </c>
      <c r="E37" s="89">
        <v>86</v>
      </c>
      <c r="F37" s="89">
        <v>94</v>
      </c>
      <c r="G37" s="89"/>
      <c r="H37" s="93">
        <v>82</v>
      </c>
      <c r="I37" s="107">
        <f t="shared" si="17"/>
        <v>-12</v>
      </c>
      <c r="J37" s="29">
        <f>BASE!S7-BASE!S16</f>
        <v>0</v>
      </c>
    </row>
    <row r="39" spans="2:10" ht="19.5" thickBot="1"/>
    <row r="40" spans="2:10" ht="26.25">
      <c r="C40" s="124" t="s">
        <v>83</v>
      </c>
      <c r="D40" s="125"/>
      <c r="E40" s="125"/>
      <c r="F40" s="125"/>
      <c r="G40" s="125"/>
      <c r="H40" s="125"/>
      <c r="I40" s="126"/>
    </row>
    <row r="41" spans="2:10" ht="56.45" customHeight="1">
      <c r="C41" s="11" t="s">
        <v>79</v>
      </c>
      <c r="D41" s="21" t="s">
        <v>34</v>
      </c>
      <c r="E41" s="5" t="s">
        <v>74</v>
      </c>
      <c r="F41" s="5" t="s">
        <v>53</v>
      </c>
      <c r="G41" s="5"/>
      <c r="H41" s="5" t="s">
        <v>80</v>
      </c>
      <c r="I41" s="14" t="s">
        <v>54</v>
      </c>
    </row>
    <row r="42" spans="2:10">
      <c r="C42" s="28" t="str">
        <f t="shared" ref="C42:C47" si="18">C4</f>
        <v>SECTOR MATICES CLERY</v>
      </c>
      <c r="D42" s="22" t="str">
        <f t="shared" ref="D42:D47" si="19">D32</f>
        <v>CARMENZA RONCANCIO GACHANCIPA</v>
      </c>
      <c r="E42" s="7">
        <f t="shared" ref="E42:E47" si="20">E32*8%</f>
        <v>17.760000000000002</v>
      </c>
      <c r="F42" s="39">
        <f t="shared" ref="F42:F47" si="21">F69-E42</f>
        <v>9.2399999999999984</v>
      </c>
      <c r="G42" s="39"/>
      <c r="H42" s="8">
        <f t="shared" ref="H42:H47" si="22">F69/F32</f>
        <v>0.1115702479338843</v>
      </c>
      <c r="I42" s="31">
        <f>BASE!U11-BASE!U2</f>
        <v>0</v>
      </c>
    </row>
    <row r="43" spans="2:10">
      <c r="C43" s="28" t="str">
        <f t="shared" si="18"/>
        <v>SECTOR MATICES CLERY</v>
      </c>
      <c r="D43" s="22" t="str">
        <f t="shared" si="19"/>
        <v>Luz Dary Chacon Gaitan</v>
      </c>
      <c r="E43" s="7">
        <f t="shared" si="20"/>
        <v>18.32</v>
      </c>
      <c r="F43" s="39">
        <f t="shared" si="21"/>
        <v>6.68</v>
      </c>
      <c r="G43" s="39"/>
      <c r="H43" s="8">
        <f t="shared" si="22"/>
        <v>0.10204081632653061</v>
      </c>
      <c r="I43" s="31">
        <f>BASE!U12-BASE!U3</f>
        <v>1</v>
      </c>
    </row>
    <row r="44" spans="2:10">
      <c r="C44" s="28" t="str">
        <f t="shared" si="18"/>
        <v>SECTOR MATICES CLERY</v>
      </c>
      <c r="D44" s="22" t="str">
        <f t="shared" si="19"/>
        <v>LUZ ADRIANA PAEZ VIGOYA</v>
      </c>
      <c r="E44" s="7">
        <f t="shared" si="20"/>
        <v>16.16</v>
      </c>
      <c r="F44" s="39">
        <f t="shared" si="21"/>
        <v>-1.1600000000000001</v>
      </c>
      <c r="G44" s="39"/>
      <c r="H44" s="8">
        <f t="shared" si="22"/>
        <v>6.8493150684931503E-2</v>
      </c>
      <c r="I44" s="31">
        <f>BASE!U13-BASE!U4</f>
        <v>0</v>
      </c>
    </row>
    <row r="45" spans="2:10">
      <c r="C45" s="28" t="str">
        <f t="shared" si="18"/>
        <v>SECTOR MATICES CLERY</v>
      </c>
      <c r="D45" s="22" t="str">
        <f t="shared" si="19"/>
        <v>LUZ MARY LUNA LEON</v>
      </c>
      <c r="E45" s="7">
        <f t="shared" si="20"/>
        <v>10.16</v>
      </c>
      <c r="F45" s="39">
        <f t="shared" si="21"/>
        <v>5.84</v>
      </c>
      <c r="G45" s="39"/>
      <c r="H45" s="8">
        <f t="shared" si="22"/>
        <v>0.11347517730496454</v>
      </c>
      <c r="I45" s="31">
        <f>BASE!U14-BASE!U5</f>
        <v>1</v>
      </c>
    </row>
    <row r="46" spans="2:10">
      <c r="C46" s="28" t="str">
        <f t="shared" si="18"/>
        <v>SECTOR MATICES CLERY</v>
      </c>
      <c r="D46" s="22" t="str">
        <f t="shared" si="19"/>
        <v>ANGELA MIREYA MONTENEGRO ROMERO</v>
      </c>
      <c r="E46" s="7">
        <f t="shared" si="20"/>
        <v>11.6</v>
      </c>
      <c r="F46" s="39">
        <f t="shared" si="21"/>
        <v>0.40000000000000036</v>
      </c>
      <c r="G46" s="39"/>
      <c r="H46" s="8">
        <f t="shared" si="22"/>
        <v>7.7419354838709681E-2</v>
      </c>
      <c r="I46" s="31">
        <f>BASE!U15-BASE!U6</f>
        <v>0</v>
      </c>
    </row>
    <row r="47" spans="2:10">
      <c r="C47" s="28" t="e">
        <f t="shared" si="18"/>
        <v>#REF!</v>
      </c>
      <c r="D47" s="22" t="str">
        <f t="shared" si="19"/>
        <v>MARIA CRISTINA RUBIO</v>
      </c>
      <c r="E47" s="7">
        <f t="shared" si="20"/>
        <v>6.88</v>
      </c>
      <c r="F47" s="39">
        <f t="shared" si="21"/>
        <v>4.12</v>
      </c>
      <c r="G47" s="39"/>
      <c r="H47" s="8">
        <f t="shared" si="22"/>
        <v>0.11702127659574468</v>
      </c>
      <c r="I47" s="31">
        <f>BASE!U16-BASE!U7</f>
        <v>0</v>
      </c>
    </row>
    <row r="48" spans="2:10" ht="19.5" thickBot="1">
      <c r="D48" s="23"/>
      <c r="E48" s="9"/>
      <c r="F48" s="10"/>
      <c r="G48" s="10"/>
      <c r="H48" s="4"/>
    </row>
    <row r="49" spans="3:9" ht="26.25">
      <c r="C49" s="124" t="s">
        <v>81</v>
      </c>
      <c r="D49" s="125"/>
      <c r="E49" s="125"/>
      <c r="F49" s="125"/>
      <c r="G49" s="125"/>
      <c r="H49" s="125"/>
      <c r="I49" s="126"/>
    </row>
    <row r="50" spans="3:9" ht="51.95" customHeight="1">
      <c r="C50" s="11" t="s">
        <v>79</v>
      </c>
      <c r="D50" s="21" t="s">
        <v>34</v>
      </c>
      <c r="E50" s="5" t="s">
        <v>75</v>
      </c>
      <c r="F50" s="5" t="s">
        <v>55</v>
      </c>
      <c r="G50" s="5"/>
      <c r="H50" s="5" t="s">
        <v>82</v>
      </c>
      <c r="I50" s="14" t="s">
        <v>56</v>
      </c>
    </row>
    <row r="51" spans="3:9">
      <c r="C51" s="28" t="str">
        <f t="shared" ref="C51:C56" si="23">C4</f>
        <v>SECTOR MATICES CLERY</v>
      </c>
      <c r="D51" s="22" t="str">
        <f t="shared" ref="D51:D56" si="24">D42</f>
        <v>CARMENZA RONCANCIO GACHANCIPA</v>
      </c>
      <c r="E51" s="7">
        <f t="shared" ref="E51:E56" si="25">E32*6%</f>
        <v>13.32</v>
      </c>
      <c r="F51" s="111">
        <f>H69-E51</f>
        <v>-1.3200000000000003</v>
      </c>
      <c r="G51" s="111"/>
      <c r="H51" s="8">
        <f t="shared" ref="H51:H56" si="26">H69/F32</f>
        <v>4.9586776859504134E-2</v>
      </c>
      <c r="I51" s="31">
        <f>BASE!V11-BASE!V2</f>
        <v>1</v>
      </c>
    </row>
    <row r="52" spans="3:9">
      <c r="C52" s="28" t="str">
        <f t="shared" si="23"/>
        <v>SECTOR MATICES CLERY</v>
      </c>
      <c r="D52" s="22" t="str">
        <f t="shared" si="24"/>
        <v>Luz Dary Chacon Gaitan</v>
      </c>
      <c r="E52" s="7">
        <f t="shared" si="25"/>
        <v>13.74</v>
      </c>
      <c r="F52" s="20">
        <f t="shared" ref="F52:F56" si="27">H70-E52</f>
        <v>6.26</v>
      </c>
      <c r="G52" s="20"/>
      <c r="H52" s="8">
        <f t="shared" si="26"/>
        <v>8.1632653061224483E-2</v>
      </c>
      <c r="I52" s="31">
        <f>BASE!V12-BASE!V3</f>
        <v>0</v>
      </c>
    </row>
    <row r="53" spans="3:9">
      <c r="C53" s="28" t="str">
        <f t="shared" si="23"/>
        <v>SECTOR MATICES CLERY</v>
      </c>
      <c r="D53" s="22" t="str">
        <f t="shared" si="24"/>
        <v>LUZ ADRIANA PAEZ VIGOYA</v>
      </c>
      <c r="E53" s="7">
        <f t="shared" si="25"/>
        <v>12.12</v>
      </c>
      <c r="F53" s="20">
        <f t="shared" si="27"/>
        <v>-0.11999999999999922</v>
      </c>
      <c r="G53" s="20"/>
      <c r="H53" s="8">
        <f t="shared" si="26"/>
        <v>5.4794520547945202E-2</v>
      </c>
      <c r="I53" s="31">
        <f>BASE!V13-BASE!V4</f>
        <v>0</v>
      </c>
    </row>
    <row r="54" spans="3:9">
      <c r="C54" s="28" t="str">
        <f t="shared" si="23"/>
        <v>SECTOR MATICES CLERY</v>
      </c>
      <c r="D54" s="22" t="str">
        <f t="shared" si="24"/>
        <v>LUZ MARY LUNA LEON</v>
      </c>
      <c r="E54" s="7">
        <f t="shared" si="25"/>
        <v>7.62</v>
      </c>
      <c r="F54" s="109">
        <f t="shared" si="27"/>
        <v>-2.62</v>
      </c>
      <c r="G54" s="109"/>
      <c r="H54" s="8">
        <f t="shared" si="26"/>
        <v>3.5460992907801421E-2</v>
      </c>
      <c r="I54" s="31">
        <f>BASE!V14-BASE!V5</f>
        <v>0</v>
      </c>
    </row>
    <row r="55" spans="3:9">
      <c r="C55" s="28" t="str">
        <f t="shared" si="23"/>
        <v>SECTOR MATICES CLERY</v>
      </c>
      <c r="D55" s="22" t="str">
        <f t="shared" si="24"/>
        <v>ANGELA MIREYA MONTENEGRO ROMERO</v>
      </c>
      <c r="E55" s="7">
        <f t="shared" si="25"/>
        <v>8.6999999999999993</v>
      </c>
      <c r="F55" s="20">
        <f t="shared" si="27"/>
        <v>2.3000000000000007</v>
      </c>
      <c r="G55" s="20"/>
      <c r="H55" s="8">
        <f t="shared" si="26"/>
        <v>7.0967741935483872E-2</v>
      </c>
      <c r="I55" s="31">
        <f>BASE!V15-BASE!V6</f>
        <v>0</v>
      </c>
    </row>
    <row r="56" spans="3:9">
      <c r="C56" s="28" t="e">
        <f t="shared" si="23"/>
        <v>#REF!</v>
      </c>
      <c r="D56" s="22" t="str">
        <f t="shared" si="24"/>
        <v>MARIA CRISTINA RUBIO</v>
      </c>
      <c r="E56" s="7">
        <f t="shared" si="25"/>
        <v>5.16</v>
      </c>
      <c r="F56" s="20">
        <f t="shared" si="27"/>
        <v>7.84</v>
      </c>
      <c r="G56" s="20"/>
      <c r="H56" s="8">
        <f t="shared" si="26"/>
        <v>0.13829787234042554</v>
      </c>
      <c r="I56" s="31">
        <f>BASE!V16-BASE!V7</f>
        <v>0</v>
      </c>
    </row>
    <row r="57" spans="3:9" ht="19.5" thickBot="1">
      <c r="E57" s="7"/>
    </row>
    <row r="58" spans="3:9" ht="26.25">
      <c r="C58" s="124" t="s">
        <v>57</v>
      </c>
      <c r="D58" s="125"/>
      <c r="E58" s="125"/>
      <c r="F58" s="126"/>
      <c r="G58" s="50"/>
    </row>
    <row r="59" spans="3:9" ht="37.5">
      <c r="C59" s="11" t="s">
        <v>79</v>
      </c>
      <c r="D59" s="21" t="s">
        <v>34</v>
      </c>
      <c r="E59" s="5" t="s">
        <v>58</v>
      </c>
      <c r="F59" s="12" t="s">
        <v>59</v>
      </c>
      <c r="G59" s="53"/>
    </row>
    <row r="60" spans="3:9" ht="18" customHeight="1">
      <c r="C60" s="28" t="str">
        <f t="shared" ref="C60:C65" si="28">C4</f>
        <v>SECTOR MATICES CLERY</v>
      </c>
      <c r="D60" s="22" t="str">
        <f t="shared" ref="D60:D65" si="29">D42</f>
        <v>CARMENZA RONCANCIO GACHANCIPA</v>
      </c>
      <c r="E60" s="19">
        <f t="shared" ref="E60:E65" si="30">F13-H23-I23-J23</f>
        <v>123</v>
      </c>
      <c r="F60" s="13">
        <f t="shared" ref="F60:F65" si="31">E60/F32</f>
        <v>0.50826446280991733</v>
      </c>
      <c r="G60" s="4"/>
    </row>
    <row r="61" spans="3:9" ht="18" customHeight="1">
      <c r="C61" s="28" t="str">
        <f t="shared" si="28"/>
        <v>SECTOR MATICES CLERY</v>
      </c>
      <c r="D61" s="22" t="str">
        <f t="shared" si="29"/>
        <v>Luz Dary Chacon Gaitan</v>
      </c>
      <c r="E61" s="19">
        <f t="shared" si="30"/>
        <v>136</v>
      </c>
      <c r="F61" s="13">
        <f t="shared" si="31"/>
        <v>0.55510204081632653</v>
      </c>
      <c r="G61" s="4"/>
    </row>
    <row r="62" spans="3:9" ht="18" customHeight="1">
      <c r="C62" s="28" t="str">
        <f t="shared" si="28"/>
        <v>SECTOR MATICES CLERY</v>
      </c>
      <c r="D62" s="22" t="str">
        <f t="shared" si="29"/>
        <v>LUZ ADRIANA PAEZ VIGOYA</v>
      </c>
      <c r="E62" s="19">
        <f t="shared" si="30"/>
        <v>126</v>
      </c>
      <c r="F62" s="13">
        <f t="shared" si="31"/>
        <v>0.57534246575342463</v>
      </c>
      <c r="G62" s="4"/>
      <c r="H62" s="4"/>
    </row>
    <row r="63" spans="3:9" ht="18" customHeight="1">
      <c r="C63" s="28" t="str">
        <f t="shared" si="28"/>
        <v>SECTOR MATICES CLERY</v>
      </c>
      <c r="D63" s="22" t="str">
        <f t="shared" si="29"/>
        <v>LUZ MARY LUNA LEON</v>
      </c>
      <c r="E63" s="19">
        <f t="shared" si="30"/>
        <v>68</v>
      </c>
      <c r="F63" s="13">
        <f t="shared" si="31"/>
        <v>0.48226950354609927</v>
      </c>
      <c r="G63" s="4"/>
      <c r="H63" s="4"/>
    </row>
    <row r="64" spans="3:9" ht="18" customHeight="1">
      <c r="C64" s="28" t="str">
        <f t="shared" si="28"/>
        <v>SECTOR MATICES CLERY</v>
      </c>
      <c r="D64" s="22" t="str">
        <f t="shared" si="29"/>
        <v>ANGELA MIREYA MONTENEGRO ROMERO</v>
      </c>
      <c r="E64" s="19">
        <f t="shared" si="30"/>
        <v>91</v>
      </c>
      <c r="F64" s="13">
        <f t="shared" si="31"/>
        <v>0.58709677419354833</v>
      </c>
      <c r="G64" s="4"/>
      <c r="H64" s="4"/>
    </row>
    <row r="65" spans="3:12" ht="18" customHeight="1">
      <c r="C65" s="28" t="e">
        <f t="shared" si="28"/>
        <v>#REF!</v>
      </c>
      <c r="D65" s="22" t="str">
        <f t="shared" si="29"/>
        <v>MARIA CRISTINA RUBIO</v>
      </c>
      <c r="E65" s="19">
        <f t="shared" si="30"/>
        <v>47</v>
      </c>
      <c r="F65" s="13">
        <f t="shared" si="31"/>
        <v>0.5</v>
      </c>
      <c r="G65" s="4"/>
      <c r="H65" s="4"/>
    </row>
    <row r="66" spans="3:12" ht="19.5" thickBot="1"/>
    <row r="67" spans="3:12" ht="26.25">
      <c r="C67" s="124" t="s">
        <v>60</v>
      </c>
      <c r="D67" s="125"/>
      <c r="E67" s="125"/>
      <c r="F67" s="125"/>
      <c r="G67" s="125"/>
      <c r="H67" s="125"/>
      <c r="I67" s="125"/>
      <c r="J67" s="125"/>
      <c r="K67" s="126"/>
      <c r="L67" s="50"/>
    </row>
    <row r="68" spans="3:12">
      <c r="C68" s="11" t="s">
        <v>79</v>
      </c>
      <c r="D68" s="94" t="s">
        <v>34</v>
      </c>
      <c r="E68" s="97" t="s">
        <v>61</v>
      </c>
      <c r="F68" s="97" t="s">
        <v>62</v>
      </c>
      <c r="G68" s="97"/>
      <c r="H68" s="97" t="s">
        <v>63</v>
      </c>
      <c r="I68" s="95" t="s">
        <v>64</v>
      </c>
      <c r="J68" s="95" t="s">
        <v>65</v>
      </c>
      <c r="K68" s="96" t="s">
        <v>66</v>
      </c>
      <c r="L68" s="53"/>
    </row>
    <row r="69" spans="3:12">
      <c r="C69" s="28" t="str">
        <f t="shared" ref="C69:C74" si="32">C4</f>
        <v>SECTOR MATICES CLERY</v>
      </c>
      <c r="D69" s="57" t="str">
        <f t="shared" ref="D69:D74" si="33">D60</f>
        <v>CARMENZA RONCANCIO GACHANCIPA</v>
      </c>
      <c r="E69" s="84">
        <f>BASE!T2</f>
        <v>57</v>
      </c>
      <c r="F69" s="84">
        <f>BASE!U2</f>
        <v>27</v>
      </c>
      <c r="G69" s="84"/>
      <c r="H69" s="84">
        <f>BASE!V2</f>
        <v>12</v>
      </c>
      <c r="I69" s="84">
        <f>BASE!W2</f>
        <v>7</v>
      </c>
      <c r="J69" s="84">
        <f>BASE!X2</f>
        <v>4</v>
      </c>
      <c r="K69" s="85">
        <f>BASE!Y2</f>
        <v>3</v>
      </c>
      <c r="L69" s="54"/>
    </row>
    <row r="70" spans="3:12">
      <c r="C70" s="28" t="str">
        <f t="shared" si="32"/>
        <v>SECTOR MATICES CLERY</v>
      </c>
      <c r="D70" s="57" t="str">
        <f t="shared" si="33"/>
        <v>Luz Dary Chacon Gaitan</v>
      </c>
      <c r="E70" s="84">
        <f>BASE!T3</f>
        <v>48</v>
      </c>
      <c r="F70" s="84">
        <f>BASE!U3</f>
        <v>25</v>
      </c>
      <c r="G70" s="84"/>
      <c r="H70" s="84">
        <f>BASE!V3</f>
        <v>20</v>
      </c>
      <c r="I70" s="84">
        <f>BASE!W3</f>
        <v>7</v>
      </c>
      <c r="J70" s="84">
        <f>BASE!X3</f>
        <v>8</v>
      </c>
      <c r="K70" s="85">
        <f>BASE!Y3</f>
        <v>2</v>
      </c>
      <c r="L70" s="54"/>
    </row>
    <row r="71" spans="3:12">
      <c r="C71" s="28" t="str">
        <f t="shared" si="32"/>
        <v>SECTOR MATICES CLERY</v>
      </c>
      <c r="D71" s="57" t="str">
        <f t="shared" si="33"/>
        <v>LUZ ADRIANA PAEZ VIGOYA</v>
      </c>
      <c r="E71" s="84">
        <f>BASE!T4</f>
        <v>49</v>
      </c>
      <c r="F71" s="84">
        <f>BASE!U4</f>
        <v>15</v>
      </c>
      <c r="G71" s="84"/>
      <c r="H71" s="84">
        <f>BASE!V4</f>
        <v>12</v>
      </c>
      <c r="I71" s="84">
        <f>BASE!W4</f>
        <v>9</v>
      </c>
      <c r="J71" s="84">
        <f>BASE!X4</f>
        <v>12</v>
      </c>
      <c r="K71" s="85">
        <f>BASE!Y4</f>
        <v>3</v>
      </c>
      <c r="L71" s="54"/>
    </row>
    <row r="72" spans="3:12">
      <c r="C72" s="28" t="str">
        <f t="shared" si="32"/>
        <v>SECTOR MATICES CLERY</v>
      </c>
      <c r="D72" s="57" t="str">
        <f t="shared" si="33"/>
        <v>LUZ MARY LUNA LEON</v>
      </c>
      <c r="E72" s="84">
        <f>BASE!T5</f>
        <v>37</v>
      </c>
      <c r="F72" s="84">
        <f>BASE!U5</f>
        <v>16</v>
      </c>
      <c r="G72" s="84"/>
      <c r="H72" s="84">
        <f>BASE!V5</f>
        <v>5</v>
      </c>
      <c r="I72" s="84">
        <f>BASE!W5</f>
        <v>9</v>
      </c>
      <c r="J72" s="84">
        <f>BASE!X5</f>
        <v>5</v>
      </c>
      <c r="K72" s="85">
        <f>BASE!Y5</f>
        <v>3</v>
      </c>
      <c r="L72" s="54"/>
    </row>
    <row r="73" spans="3:12">
      <c r="C73" s="28" t="str">
        <f t="shared" si="32"/>
        <v>SECTOR MATICES CLERY</v>
      </c>
      <c r="D73" s="57" t="str">
        <f t="shared" si="33"/>
        <v>ANGELA MIREYA MONTENEGRO ROMERO</v>
      </c>
      <c r="E73" s="84">
        <f>BASE!T6</f>
        <v>30</v>
      </c>
      <c r="F73" s="84">
        <f>BASE!U6</f>
        <v>12</v>
      </c>
      <c r="G73" s="84"/>
      <c r="H73" s="84">
        <f>BASE!V6</f>
        <v>11</v>
      </c>
      <c r="I73" s="84">
        <f>BASE!W6</f>
        <v>6</v>
      </c>
      <c r="J73" s="84">
        <f>BASE!X6</f>
        <v>5</v>
      </c>
      <c r="K73" s="85">
        <f>BASE!Y6</f>
        <v>6</v>
      </c>
      <c r="L73" s="54"/>
    </row>
    <row r="74" spans="3:12">
      <c r="C74" s="28" t="e">
        <f t="shared" si="32"/>
        <v>#REF!</v>
      </c>
      <c r="D74" s="57" t="str">
        <f t="shared" si="33"/>
        <v>MARIA CRISTINA RUBIO</v>
      </c>
      <c r="E74" s="84">
        <f>BASE!T7</f>
        <v>15</v>
      </c>
      <c r="F74" s="84">
        <f>BASE!U7</f>
        <v>11</v>
      </c>
      <c r="G74" s="84"/>
      <c r="H74" s="84">
        <f>BASE!V7</f>
        <v>13</v>
      </c>
      <c r="I74" s="84">
        <f>BASE!W7</f>
        <v>8</v>
      </c>
      <c r="J74" s="84">
        <f>BASE!X7</f>
        <v>9</v>
      </c>
      <c r="K74" s="85">
        <f>BASE!Y7</f>
        <v>4</v>
      </c>
      <c r="L74" s="54"/>
    </row>
    <row r="75" spans="3:12" ht="19.5" thickBot="1"/>
    <row r="76" spans="3:12" ht="26.25">
      <c r="C76" s="124" t="s">
        <v>67</v>
      </c>
      <c r="D76" s="125"/>
      <c r="E76" s="125"/>
      <c r="F76" s="125"/>
      <c r="G76" s="125"/>
      <c r="H76" s="125"/>
      <c r="I76" s="126"/>
    </row>
    <row r="77" spans="3:12" ht="56.25">
      <c r="C77" s="11" t="s">
        <v>79</v>
      </c>
      <c r="D77" s="21" t="s">
        <v>34</v>
      </c>
      <c r="E77" s="5" t="s">
        <v>68</v>
      </c>
      <c r="F77" s="5" t="s">
        <v>69</v>
      </c>
      <c r="G77" s="5"/>
      <c r="H77" s="5" t="s">
        <v>70</v>
      </c>
      <c r="I77" s="14" t="s">
        <v>47</v>
      </c>
    </row>
    <row r="78" spans="3:12">
      <c r="C78" s="28" t="str">
        <f t="shared" ref="C78:C83" si="34">C4</f>
        <v>SECTOR MATICES CLERY</v>
      </c>
      <c r="D78" s="22" t="str">
        <f t="shared" ref="D78:D83" si="35">D69</f>
        <v>CARMENZA RONCANCIO GACHANCIPA</v>
      </c>
      <c r="E78" s="37">
        <v>0.63</v>
      </c>
      <c r="F78" s="35">
        <f>BASE!AA2</f>
        <v>0.60329999999999995</v>
      </c>
      <c r="G78" s="35"/>
      <c r="H78" s="36">
        <f>E78-F78</f>
        <v>2.6700000000000057E-2</v>
      </c>
      <c r="I78" s="38">
        <f>BASE!AA2-BASE!AA11</f>
        <v>3.71999999999999E-2</v>
      </c>
    </row>
    <row r="79" spans="3:12">
      <c r="C79" s="28" t="str">
        <f t="shared" si="34"/>
        <v>SECTOR MATICES CLERY</v>
      </c>
      <c r="D79" s="22" t="str">
        <f t="shared" si="35"/>
        <v>Luz Dary Chacon Gaitan</v>
      </c>
      <c r="E79" s="37">
        <v>0.63</v>
      </c>
      <c r="F79" s="35">
        <f>BASE!AA3</f>
        <v>0.622</v>
      </c>
      <c r="G79" s="35"/>
      <c r="H79" s="36">
        <f t="shared" ref="H79:H83" si="36">E79-F79</f>
        <v>8.0000000000000071E-3</v>
      </c>
      <c r="I79" s="38">
        <f>BASE!AA3-BASE!AA12</f>
        <v>3.4200000000000008E-2</v>
      </c>
    </row>
    <row r="80" spans="3:12">
      <c r="C80" s="28" t="str">
        <f t="shared" si="34"/>
        <v>SECTOR MATICES CLERY</v>
      </c>
      <c r="D80" s="22" t="str">
        <f t="shared" si="35"/>
        <v>LUZ ADRIANA PAEZ VIGOYA</v>
      </c>
      <c r="E80" s="37">
        <v>0.63</v>
      </c>
      <c r="F80" s="35">
        <f>BASE!AA4</f>
        <v>0.65300000000000002</v>
      </c>
      <c r="G80" s="35"/>
      <c r="H80" s="36">
        <f t="shared" si="36"/>
        <v>-2.300000000000002E-2</v>
      </c>
      <c r="I80" s="38">
        <f>BASE!AA4-BASE!AA13</f>
        <v>3.0900000000000039E-2</v>
      </c>
    </row>
    <row r="81" spans="3:9">
      <c r="C81" s="28" t="str">
        <f t="shared" si="34"/>
        <v>SECTOR MATICES CLERY</v>
      </c>
      <c r="D81" s="22" t="str">
        <f t="shared" si="35"/>
        <v>LUZ MARY LUNA LEON</v>
      </c>
      <c r="E81" s="37">
        <v>0.63</v>
      </c>
      <c r="F81" s="35">
        <f>BASE!AA5</f>
        <v>0.5887</v>
      </c>
      <c r="G81" s="35"/>
      <c r="H81" s="36">
        <f t="shared" si="36"/>
        <v>4.1300000000000003E-2</v>
      </c>
      <c r="I81" s="38">
        <f>BASE!AA5-BASE!AA14</f>
        <v>2.8399999999999981E-2</v>
      </c>
    </row>
    <row r="82" spans="3:9">
      <c r="C82" s="28" t="str">
        <f t="shared" si="34"/>
        <v>SECTOR MATICES CLERY</v>
      </c>
      <c r="D82" s="22" t="str">
        <f t="shared" si="35"/>
        <v>ANGELA MIREYA MONTENEGRO ROMERO</v>
      </c>
      <c r="E82" s="37">
        <v>0.63</v>
      </c>
      <c r="F82" s="35">
        <f>BASE!AA6</f>
        <v>0.65810000000000002</v>
      </c>
      <c r="G82" s="35"/>
      <c r="H82" s="36">
        <f t="shared" si="36"/>
        <v>-2.8100000000000014E-2</v>
      </c>
      <c r="I82" s="38">
        <f>BASE!AA6-BASE!AA15</f>
        <v>6.5000000000000613E-3</v>
      </c>
    </row>
    <row r="83" spans="3:9">
      <c r="C83" s="28" t="e">
        <f t="shared" si="34"/>
        <v>#REF!</v>
      </c>
      <c r="D83" s="22" t="str">
        <f t="shared" si="35"/>
        <v>MARIA CRISTINA RUBIO</v>
      </c>
      <c r="E83" s="37">
        <v>0.63</v>
      </c>
      <c r="F83" s="35">
        <f>BASE!AA7</f>
        <v>0.58509999999999995</v>
      </c>
      <c r="G83" s="35"/>
      <c r="H83" s="36">
        <f t="shared" si="36"/>
        <v>4.4900000000000051E-2</v>
      </c>
      <c r="I83" s="38">
        <f>BASE!AA7-BASE!AA16</f>
        <v>3.1899999999999928E-2</v>
      </c>
    </row>
    <row r="84" spans="3:9" ht="19.5" thickBot="1"/>
    <row r="85" spans="3:9" ht="26.25">
      <c r="C85" s="124" t="s">
        <v>71</v>
      </c>
      <c r="D85" s="125"/>
      <c r="E85" s="126"/>
    </row>
    <row r="86" spans="3:9">
      <c r="C86" s="11" t="s">
        <v>79</v>
      </c>
      <c r="D86" s="24" t="s">
        <v>72</v>
      </c>
      <c r="E86" s="33">
        <v>0.63</v>
      </c>
    </row>
    <row r="87" spans="3:9">
      <c r="C87" s="28" t="str">
        <f t="shared" ref="C87:C92" si="37">C4</f>
        <v>SECTOR MATICES CLERY</v>
      </c>
      <c r="D87" s="25" t="str">
        <f>D69</f>
        <v>CARMENZA RONCANCIO GACHANCIPA</v>
      </c>
      <c r="E87" s="34">
        <f>(F32*$E$86)-F13</f>
        <v>6.460000000000008</v>
      </c>
    </row>
    <row r="88" spans="3:9">
      <c r="C88" s="28" t="str">
        <f t="shared" si="37"/>
        <v>SECTOR MATICES CLERY</v>
      </c>
      <c r="D88" s="25" t="str">
        <f>D70</f>
        <v>Luz Dary Chacon Gaitan</v>
      </c>
      <c r="E88" s="90">
        <f t="shared" ref="E88:E92" si="38">(F33*$E$86)-F14</f>
        <v>1.3499999999999943</v>
      </c>
    </row>
    <row r="89" spans="3:9">
      <c r="C89" s="28" t="str">
        <f t="shared" si="37"/>
        <v>SECTOR MATICES CLERY</v>
      </c>
      <c r="D89" s="25" t="str">
        <f>D71</f>
        <v>LUZ ADRIANA PAEZ VIGOYA</v>
      </c>
      <c r="E89" s="90">
        <f t="shared" si="38"/>
        <v>-5.0300000000000011</v>
      </c>
    </row>
    <row r="90" spans="3:9">
      <c r="C90" s="28" t="str">
        <f t="shared" si="37"/>
        <v>SECTOR MATICES CLERY</v>
      </c>
      <c r="D90" s="25" t="str">
        <f>D72</f>
        <v>LUZ MARY LUNA LEON</v>
      </c>
      <c r="E90" s="34">
        <f t="shared" si="38"/>
        <v>5.8299999999999983</v>
      </c>
    </row>
    <row r="91" spans="3:9">
      <c r="C91" s="28" t="str">
        <f t="shared" si="37"/>
        <v>SECTOR MATICES CLERY</v>
      </c>
      <c r="D91" s="78" t="str">
        <f>D73</f>
        <v>ANGELA MIREYA MONTENEGRO ROMERO</v>
      </c>
      <c r="E91" s="34">
        <f t="shared" si="38"/>
        <v>-4.3499999999999943</v>
      </c>
    </row>
    <row r="92" spans="3:9">
      <c r="C92" s="28" t="e">
        <f t="shared" si="37"/>
        <v>#REF!</v>
      </c>
      <c r="D92" s="25" t="str">
        <f t="shared" ref="D92" si="39">D74</f>
        <v>MARIA CRISTINA RUBIO</v>
      </c>
      <c r="E92" s="34">
        <f t="shared" si="38"/>
        <v>4.2199999999999989</v>
      </c>
    </row>
    <row r="94" spans="3:9" ht="21">
      <c r="D94" s="41"/>
    </row>
    <row r="96" spans="3:9">
      <c r="D96" s="21" t="s">
        <v>101</v>
      </c>
      <c r="E96" s="44" t="s">
        <v>99</v>
      </c>
      <c r="F96" s="44" t="s">
        <v>100</v>
      </c>
      <c r="G96" s="44"/>
      <c r="H96" s="44" t="s">
        <v>52</v>
      </c>
    </row>
    <row r="97" spans="4:8" ht="24">
      <c r="D97" s="22" t="s">
        <v>94</v>
      </c>
      <c r="E97" s="55">
        <v>14</v>
      </c>
      <c r="F97" s="55"/>
      <c r="G97" s="55"/>
      <c r="H97" s="56">
        <f>E97-F97</f>
        <v>14</v>
      </c>
    </row>
    <row r="98" spans="4:8" ht="24">
      <c r="D98" s="22" t="s">
        <v>88</v>
      </c>
      <c r="E98" s="55">
        <v>14</v>
      </c>
      <c r="F98" s="55"/>
      <c r="G98" s="55"/>
      <c r="H98" s="56">
        <f t="shared" ref="H98:H102" si="40">E98-F98</f>
        <v>14</v>
      </c>
    </row>
    <row r="99" spans="4:8" ht="24">
      <c r="D99" s="22" t="s">
        <v>89</v>
      </c>
      <c r="E99" s="55">
        <v>14</v>
      </c>
      <c r="F99" s="55">
        <v>1</v>
      </c>
      <c r="G99" s="55"/>
      <c r="H99" s="56">
        <f t="shared" si="40"/>
        <v>13</v>
      </c>
    </row>
    <row r="100" spans="4:8" ht="24">
      <c r="D100" s="22" t="s">
        <v>90</v>
      </c>
      <c r="E100" s="55">
        <v>10</v>
      </c>
      <c r="F100" s="55">
        <v>1</v>
      </c>
      <c r="G100" s="55"/>
      <c r="H100" s="56">
        <f t="shared" si="40"/>
        <v>9</v>
      </c>
    </row>
    <row r="101" spans="4:8" ht="24">
      <c r="D101" s="22" t="s">
        <v>95</v>
      </c>
      <c r="E101" s="55">
        <v>10</v>
      </c>
      <c r="F101" s="55"/>
      <c r="G101" s="55"/>
      <c r="H101" s="56">
        <f t="shared" si="40"/>
        <v>10</v>
      </c>
    </row>
    <row r="102" spans="4:8" ht="24">
      <c r="D102" s="22" t="s">
        <v>92</v>
      </c>
      <c r="E102" s="55">
        <v>6</v>
      </c>
      <c r="F102" s="55"/>
      <c r="G102" s="55"/>
      <c r="H102" s="56">
        <f t="shared" si="40"/>
        <v>6</v>
      </c>
    </row>
  </sheetData>
  <protectedRanges>
    <protectedRange sqref="H75:J76 K10:L11 H1:J2 H49 K48:M50 C2:C3 D77 C11:C12 C21:C22 C30:C31 C40:C41 C49:C50 C58:C59 C67:C68 C76:C77 H77:I77 C85:C86 D84 H66:M67 D59:D66 J48:J49 F57:M57 E58:M65 D50:E57 K55:M56 H40:I46 D31:D39 K32:L37 M28 D22:D29 D68:D75 H50:I56 D86:D93 K75:M93 E84:J93 H3:I9 E29:G31 F49:G56 E66:G77 H68:L74 D78:I83 H29:L30 H38:M39 E38:G46 E47:I48 M10:M20 M30 E1:G9 D12:D20 B11:B17 D3:D10 D41:D48 D1 O28 K1:M9 E10:J18 H31:J37 E19:L28" name="Rango2"/>
    <protectedRange algorithmName="SHA-512" hashValue="7sbxOee1eBLaO2KLV3YIgZMnrXO1tVijFnithcGIcD9wnE9pNzLhAkRsM8GUg9f2Q3dHGE3KyZdMc7k471KIlA==" saltValue="gAXO/P7FRt8GMbxdhQwP2g==" spinCount="100000" sqref="D94" name="Rango1"/>
    <protectedRange sqref="E96:H96" name="Rango2_1"/>
    <protectedRange sqref="D96:D102" name="Rango2_1_1"/>
  </protectedRanges>
  <mergeCells count="9">
    <mergeCell ref="C67:K67"/>
    <mergeCell ref="C76:I76"/>
    <mergeCell ref="C85:E85"/>
    <mergeCell ref="C49:I49"/>
    <mergeCell ref="C2:J2"/>
    <mergeCell ref="C21:K21"/>
    <mergeCell ref="C30:J30"/>
    <mergeCell ref="C40:I40"/>
    <mergeCell ref="C58:F58"/>
  </mergeCells>
  <conditionalFormatting sqref="B13:B17">
    <cfRule type="colorScale" priority="26">
      <colorScale>
        <cfvo type="min"/>
        <cfvo type="max"/>
        <color rgb="FFFFEF9C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  <cfRule type="iconSet" priority="28">
      <iconSet iconSet="3Arrows">
        <cfvo type="percent" val="0"/>
        <cfvo type="percent" val="33"/>
        <cfvo type="percent" val="70"/>
      </iconSet>
    </cfRule>
  </conditionalFormatting>
  <conditionalFormatting sqref="H4:H9">
    <cfRule type="colorScale" priority="6">
      <colorScale>
        <cfvo type="min"/>
        <cfvo type="max"/>
        <color rgb="FFFFEF9C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  <cfRule type="iconSet" priority="102">
      <iconSet iconSet="3Arrows">
        <cfvo type="percent" val="0"/>
        <cfvo type="percent" val="33"/>
        <cfvo type="percent" val="70"/>
      </iconSet>
    </cfRule>
  </conditionalFormatting>
  <conditionalFormatting sqref="H13:H18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">
      <colorScale>
        <cfvo type="min"/>
        <cfvo type="max"/>
        <color rgb="FF63BE7B"/>
        <color rgb="FFFFEF9C"/>
      </colorScale>
    </cfRule>
  </conditionalFormatting>
  <conditionalFormatting sqref="I13:I18">
    <cfRule type="colorScale" priority="5">
      <colorScale>
        <cfvo type="min"/>
        <cfvo type="max"/>
        <color rgb="FFFFEF9C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iconSet" priority="93">
      <iconSet iconSet="3Arrows">
        <cfvo type="percent" val="0"/>
        <cfvo type="percent" val="33"/>
        <cfvo type="percent" val="67"/>
      </iconSet>
    </cfRule>
  </conditionalFormatting>
  <conditionalFormatting sqref="I32:I3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max"/>
        <color rgb="FFFCFCFF"/>
        <color rgb="FFF8696B"/>
      </colorScale>
    </cfRule>
  </conditionalFormatting>
  <conditionalFormatting sqref="I78:I83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00">
      <iconSet iconSet="3Arrows">
        <cfvo type="percent" val="0"/>
        <cfvo type="percent" val="33"/>
        <cfvo type="percent" val="67"/>
      </iconSet>
    </cfRule>
  </conditionalFormatting>
  <conditionalFormatting sqref="J4:J9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conditionalFormatting sqref="K13:K1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3:L28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">
      <colorScale>
        <cfvo type="min"/>
        <cfvo type="max"/>
        <color rgb="FFFCFCFF"/>
        <color rgb="FFF8696B"/>
      </colorScale>
    </cfRule>
  </conditionalFormatting>
  <conditionalFormatting sqref="M6:M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3:N2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3:P28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1" id="{00000000-000E-0000-0100-00000E00000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K23:L28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ASI VAMOS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Salazar</dc:creator>
  <cp:lastModifiedBy>Raul Eduardo Sanchez Rodriguez</cp:lastModifiedBy>
  <cp:lastPrinted>2026-03-09T15:35:32Z</cp:lastPrinted>
  <dcterms:created xsi:type="dcterms:W3CDTF">2023-02-14T18:24:28Z</dcterms:created>
  <dcterms:modified xsi:type="dcterms:W3CDTF">2026-08-25T03:22:48Z</dcterms:modified>
</cp:coreProperties>
</file>